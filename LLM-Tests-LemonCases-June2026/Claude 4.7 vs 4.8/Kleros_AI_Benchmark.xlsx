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shboard" sheetId="2" state="visible" r:id="rId4"/>
    <sheet name="Case Matrix" sheetId="3" state="visible" r:id="rId5"/>
    <sheet name="Flip Log" sheetId="4" state="visible" r:id="rId6"/>
    <sheet name="Change Driver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<sst xmlns="http://schemas.openxmlformats.org/spreadsheetml/2006/main" count="916" uniqueCount="358">
  <si>
    <t xml:space="preserve">Kleros AI Benchmark — Model-Version Verdict Tracker</t>
  </si>
  <si>
    <t xml:space="preserve">Lemon Cash disputes · Schelling-point juror assessment · 99-case panel</t>
  </si>
  <si>
    <t xml:space="preserve">What this benchmark measures</t>
  </si>
  <si>
    <t xml:space="preserve">This workbook turns a fixed, hand-curated corpus of 99 real Kleros 'Lemon' disputes into a regression benchmark for Claude model versions. Each model version assesses the SAME 99 cases as a diligent Kleros juror (verdict = Rule for Lemon / Rule for the User, plus a confidence level). The benchmark tracks, version over version: (1) how the verdict distribution shifts, (2) the case-by-case agreement rate, (3) which specific cases flip and in which direction, and (4) confidence calibration. The aim is to detect and characterise behavioural drift as models are upgraded — not (yet) to score against a legal ground truth.</t>
  </si>
  <si>
    <t xml:space="preserve">Sheets in this workbook</t>
  </si>
  <si>
    <t xml:space="preserve">•  Dashboard — Headline metrics + chart: verdict split per version, agreement rate, flip count &amp; direction, confidence mix. All formula-driven from 'Case Matrix'.</t>
  </si>
  <si>
    <t xml:space="preserve">•  Case Matrix — One row per case (99). Fixed metadata columns, then a {Verdict, Confidence} block per model version. Agreement &amp; flip-direction computed by formula.</t>
  </si>
  <si>
    <t xml:space="preserve">•  Flip Log — The 11 cases whose verdict changed between v4.7 and v4.8, with each model's reasoning, the change driver, and a high-confidence-reversal flag.</t>
  </si>
  <si>
    <t xml:space="preserve">•  Change Drivers — The five recurring mechanisms behind the v4.7→v4.8 flips, with definitions and case counts.</t>
  </si>
  <si>
    <t xml:space="preserve">How to add the next model version (e.g. v4.9 / v5.0)</t>
  </si>
  <si>
    <t xml:space="preserve">1.  Re-run the same 99 cases through the new model with the identical Kleros juror skill/prompt and the same inputs.
2.  In 'Case Matrix', insert two new columns immediately to the LEFT of the 'Agree?' column: '&lt;ver&gt; Verdict' and '&lt;ver&gt; Confidence'. Paste the new verdicts (use exactly the tokens 'Lemon' / 'User').
3.  Repoint the 'Agree?' and 'Flip' formulas to compare the new version against the previous one (the template compares the two newest blocks).
4.  On 'Dashboard', copy the v4.8 metric column, point its COUNTIF ranges at the new columns, and extend the chart data range.
5.  Log any new flips on 'Flip Log' and tag each with a Change Driver.</t>
  </si>
  <si>
    <t xml:space="preserve">Scoring conventions &amp; caveats</t>
  </si>
  <si>
    <t xml:space="preserve">•  Agreement % = identical verdict tokens between two versions ÷ cases compared. It is a CONSISTENCY metric, not an accuracy metric.
•  No external ground truth is encoded yet. When the real on-chain Kleros ruling for a case is known, add a 'Gold' column and an accuracy formula per version — the corpus is built to support this.
•  Verdict tokens are normalised to 'Lemon' / 'User'. Source wording: v4.7 'Favor Lemon/User'; v4.8 'Rule for Lemon / Rule for the User'.
•  Confidence is self-reported by the model and is directional only; treat cross-version confidence comparisons as calibration signal, not precision.
•  Corpus = 99 cases (numbered 4–122 with gaps); both versions assessed the identical set.</t>
  </si>
  <si>
    <t xml:space="preserve">Generated by Claude (v4.8) · comparison baseline: Claude v4.7 Opus (Adaptive Thinking)</t>
  </si>
  <si>
    <t xml:space="preserve">Kleros AI Benchmark — Dashboard</t>
  </si>
  <si>
    <t xml:space="preserve">Claude v4.7 Opus  →  v4.8 Max Thinking   ·   99 Lemon disputes</t>
  </si>
  <si>
    <t xml:space="preserve">Cases compared</t>
  </si>
  <si>
    <t xml:space="preserve">Agreement rate</t>
  </si>
  <si>
    <t xml:space="preserve">Verdicts flipped</t>
  </si>
  <si>
    <t xml:space="preserve">identical case set</t>
  </si>
  <si>
    <t xml:space="preserve">verdict consistency</t>
  </si>
  <si>
    <t xml:space="preserve">of 99 cases</t>
  </si>
  <si>
    <t xml:space="preserve">Flips: User→Lemon</t>
  </si>
  <si>
    <t xml:space="preserve">Flips: Lemon→User</t>
  </si>
  <si>
    <t xml:space="preserve">High-conf. reversals</t>
  </si>
  <si>
    <t xml:space="preserve">more pro-platform</t>
  </si>
  <si>
    <t xml:space="preserve">more pro-consumer</t>
  </si>
  <si>
    <t xml:space="preserve">v4.7 was 'High'</t>
  </si>
  <si>
    <t xml:space="preserve">Verdict distribution</t>
  </si>
  <si>
    <t xml:space="preserve">Outcome</t>
  </si>
  <si>
    <t xml:space="preserve">v4.7</t>
  </si>
  <si>
    <t xml:space="preserve">v4.8</t>
  </si>
  <si>
    <t xml:space="preserve">Δ (4.8−4.7)</t>
  </si>
  <si>
    <t xml:space="preserve">Rule for Lemon</t>
  </si>
  <si>
    <t xml:space="preserve">Rule for the User</t>
  </si>
  <si>
    <t xml:space="preserve">Total</t>
  </si>
  <si>
    <t xml:space="preserve">Confidence mix</t>
  </si>
  <si>
    <t xml:space="preserve">Confidence</t>
  </si>
  <si>
    <t xml:space="preserve">High</t>
  </si>
  <si>
    <t xml:space="preserve">Medium</t>
  </si>
  <si>
    <t xml:space="preserve">Medium-High</t>
  </si>
  <si>
    <t xml:space="preserve">Case Matrix — per-case verdicts by model version</t>
  </si>
  <si>
    <t xml:space="preserve">Fixed metadata on the left; one {Verdict, Confidence} block per version. Add new versions before the 'Agree?' column.</t>
  </si>
  <si>
    <t xml:space="preserve">Case #</t>
  </si>
  <si>
    <t xml:space="preserve">Category</t>
  </si>
  <si>
    <t xml:space="preserve">Amount in dispute</t>
  </si>
  <si>
    <t xml:space="preserve">Product / issue</t>
  </si>
  <si>
    <t xml:space="preserve">v4.7 Verdict</t>
  </si>
  <si>
    <t xml:space="preserve">v4.7 Conf.</t>
  </si>
  <si>
    <t xml:space="preserve">v4.8 Verdict</t>
  </si>
  <si>
    <t xml:space="preserve">v4.8 Conf.</t>
  </si>
  <si>
    <t xml:space="preserve">Agree?</t>
  </si>
  <si>
    <t xml:space="preserve">Flip (prev→new)</t>
  </si>
  <si>
    <t xml:space="preserve">Unauthorized / disputed card charge</t>
  </si>
  <si>
    <t xml:space="preserve">USD 218 (converted to ARS 104,781) — transferred to third-pa</t>
  </si>
  <si>
    <t xml:space="preserve">Account security / unauthorised transfers following pho</t>
  </si>
  <si>
    <t xml:space="preserve">Lemon</t>
  </si>
  <si>
    <t xml:space="preserve">User</t>
  </si>
  <si>
    <t xml:space="preserve">Commission / fee / valuation</t>
  </si>
  <si>
    <t xml:space="preserve">ARS 3,525.15 (Tinder charge dated 27/04/2023 01:38–01:39hs)</t>
  </si>
  <si>
    <t xml:space="preserve">Lemon Cash prepaid VISA card — disputed Tinder charge</t>
  </si>
  <si>
    <t xml:space="preserve">Unlisted token / wrong network (crypto)</t>
  </si>
  <si>
    <t xml:space="preserve">~USD 1–2 (15,000 LUNC tokens converted to ~1 USDC); user inv</t>
  </si>
  <si>
    <t xml:space="preserve">Delisting / forced conversion of LUNC (Luna Classic) an</t>
  </si>
  <si>
    <t xml:space="preserve">Scam / third-party fraud</t>
  </si>
  <si>
    <t xml:space="preserve">250 USDC</t>
  </si>
  <si>
    <t xml:space="preserve">Depósito accidental de USDC en la red Optimism (red no </t>
  </si>
  <si>
    <t xml:space="preserve">~USD 72.68 (per user's app screenshot showing -$72.68 moveme</t>
  </si>
  <si>
    <t xml:space="preserve">Crypto deposit (Ethereum/WETH) sent over the Optimism n</t>
  </si>
  <si>
    <t xml:space="preserve">Promotion / cashback / referral</t>
  </si>
  <si>
    <t xml:space="preserve">User claims 180 USD; Lemon disputes the figure as not matchi</t>
  </si>
  <si>
    <t xml:space="preserve">"Reintegro Pagos de Servicios" — Oct 2023 promotion off</t>
  </si>
  <si>
    <t xml:space="preserve">50% reintegro on a 4th utility-bill payment, capped at AR$1,</t>
  </si>
  <si>
    <t xml:space="preserve">"Reintegro Pagos de Servicios" — Lemon promotion (02–13</t>
  </si>
  <si>
    <t xml:space="preserve">ARS 15,493.67 (user states ARS 15,500) — card purchase to "D</t>
  </si>
  <si>
    <t xml:space="preserve">Lemon Cash debit-card transaction / chargeback (compra </t>
  </si>
  <si>
    <t xml:space="preserve">ARS 40,000 (three transactions at MERPAGO*TICKETPASS on 13/1</t>
  </si>
  <si>
    <t xml:space="preserve">Lemon Cash prepaid card — disputed/unauthorized transac</t>
  </si>
  <si>
    <t xml:space="preserve">User claims approximately $9,000 (pesos) reintegro; Lemon sa</t>
  </si>
  <si>
    <t xml:space="preserve">"Reintegro Pagos de Servicios" — 50% reintegro on first</t>
  </si>
  <si>
    <t xml:space="preserve">ARS 12,924.02 (purchase 6,619.66 + taxes 6,304.36) — 22 Nove</t>
  </si>
  <si>
    <t xml:space="preserve">Chargeback / reversal of a card transaction on Lemon Ca</t>
  </si>
  <si>
    <t xml:space="preserve">~400 UXD (approx. USD 400)</t>
  </si>
  <si>
    <t xml:space="preserve">Cash-In of UXD (Ripio's stablecoin) from Ripio to a Lem</t>
  </si>
  <si>
    <t xml:space="preserve">Approx. ARS 4,237 (difference between user's expected ARS 12</t>
  </si>
  <si>
    <t xml:space="preserve">BTC sale on Lemon Cash app — alleged interface error in</t>
  </si>
  <si>
    <t xml:space="preserve">ARS 20,359.00 (PedidosYa charge, 09/02/2024 20:51hs)</t>
  </si>
  <si>
    <t xml:space="preserve">Lemon Card (VISA prepaid card *7151) — disputed/unautho</t>
  </si>
  <si>
    <t xml:space="preserve">USDC 60.116205 (~ARS 74.050,54 / ~USD 60) — cargo de Xsolla </t>
  </si>
  <si>
    <t xml:space="preserve">Lemon Card (tarjeta prepaga VISA) — desconocimiento de </t>
  </si>
  <si>
    <t xml:space="preserve">Approximately ARS 25,818 across ~12 transactions between 11 </t>
  </si>
  <si>
    <t xml:space="preserve">Lemon Cash prepaid debit card (Visa) — disputed card tr</t>
  </si>
  <si>
    <t xml:space="preserve">7.172,07 ARS</t>
  </si>
  <si>
    <t xml:space="preserve">Tarjeta Prepaga Lemon — disputed card transaction ("Inm</t>
  </si>
  <si>
    <t xml:space="preserve">~0.1079285 BNB (aprox., transferencia del 2024-02-28)</t>
  </si>
  <si>
    <t xml:space="preserve">Recuperación de cripto enviada a Lemon por red/token no</t>
  </si>
  <si>
    <t xml:space="preserve">ARS 50,000 (2 × ARS 25,000).</t>
  </si>
  <si>
    <t xml:space="preserve">Desconocimiento de transferencias (two ARS withdrawals </t>
  </si>
  <si>
    <t xml:space="preserve">USD 200 (user accepts ~USD 50 as reasonable conversion cost;</t>
  </si>
  <si>
    <t xml:space="preserve">Deposit of USDC (Bridged) on Polygon — token delisting </t>
  </si>
  <si>
    <t xml:space="preserve">Transfer/deposit not credited</t>
  </si>
  <si>
    <t xml:space="preserve">ARS 50,000</t>
  </si>
  <si>
    <t xml:space="preserve">Inbound ARS bank transfer (DEBIN / SNP) to Lemon accoun</t>
  </si>
  <si>
    <t xml:space="preserve">64 USDC (≈ ARS 34,336.38 / ARS 24,028.36 net after FX &amp; comm</t>
  </si>
  <si>
    <t xml:space="preserve">Crypto-to-fiat sale (USDC/USDT → ARS) via Lemon Cash ap</t>
  </si>
  <si>
    <t xml:space="preserve">Not stated (user requests at minimum a partial refund)</t>
  </si>
  <si>
    <t xml:space="preserve">P2P / off-platform transfer to a third-party "vendedor"</t>
  </si>
  <si>
    <t xml:space="preserve">ARS 15,200.00</t>
  </si>
  <si>
    <t xml:space="preserve">Inbound CVU bank transfer (Brubank → Lemon) of ARS 15,2</t>
  </si>
  <si>
    <t xml:space="preserve">ARS 3,940.00</t>
  </si>
  <si>
    <t xml:space="preserve">FIAT transfer via Lemon (CVU/alias) — user-initiated tr</t>
  </si>
  <si>
    <t xml:space="preserve">ARS 45.876,30</t>
  </si>
  <si>
    <t xml:space="preserve">Lemon Card (VISA Física *3809) — disputed/unrecognised </t>
  </si>
  <si>
    <t xml:space="preserve">ARS 100.000</t>
  </si>
  <si>
    <t xml:space="preserve">Transferencia saliente desde cuenta Lemon (ARS) a CBU/C</t>
  </si>
  <si>
    <t xml:space="preserve">ARS 32,000 (ARS 12,000 + ARS 20,000)</t>
  </si>
  <si>
    <t xml:space="preserve">FIAT (ARS) outgoing transfers from a Lemon Cash account</t>
  </si>
  <si>
    <t xml:space="preserve">55 USDT (TRC20)</t>
  </si>
  <si>
    <t xml:space="preserve">Crypto deposit (USDT/TRX) to Lemon wallet — alleged non</t>
  </si>
  <si>
    <t xml:space="preserve">Wrong address/alias transfer (user error)</t>
  </si>
  <si>
    <t xml:space="preserve">~7.046428 USDC (~ARS $9,970 as displayed in-app)</t>
  </si>
  <si>
    <t xml:space="preserve">USDC on-chain deposit to Lemon account (Optimism networ</t>
  </si>
  <si>
    <t xml:space="preserve">ARS 33.500,00</t>
  </si>
  <si>
    <t xml:space="preserve">Transferencia saliente (CVU/CBU push payment) desde Lem</t>
  </si>
  <si>
    <t xml:space="preserve">Not stated (USDT amount of the alleged transfer; not specifi</t>
  </si>
  <si>
    <t xml:space="preserve">USDT (TRC20) crypto deposit into Lemon account</t>
  </si>
  <si>
    <t xml:space="preserve">200.00 USDT net (200.75 USDT debited)</t>
  </si>
  <si>
    <t xml:space="preserve">Crypto withdrawal — USDT external transfer from Lemon w</t>
  </si>
  <si>
    <t xml:space="preserve">ARS 88.000,00 (un primer envío de prueba de ARS 2.000 más la</t>
  </si>
  <si>
    <t xml:space="preserve">Transferencia fiat (ARS) saliente vía Lemon / Digifin a</t>
  </si>
  <si>
    <t xml:space="preserve">No declarado (el usuario no especifica monto, fecha, ni dest</t>
  </si>
  <si>
    <t xml:space="preserve">Transferencias FIAT / cripto desde cuenta Lemon que el </t>
  </si>
  <si>
    <t xml:space="preserve">At least ARS 94,831.00 (08-Jul-2024, 16:07) + ARS 269,000.00</t>
  </si>
  <si>
    <t xml:space="preserve">No promotion. Outbound Lemon peer-to-peer transfers (AR</t>
  </si>
  <si>
    <t xml:space="preserve">ARS $49,700 (single transfer dated 06/07/2024, 11:00 hs).</t>
  </si>
  <si>
    <t xml:space="preserve">Voluntary peer-to-peer transfer (Mercado Pago to Lemon </t>
  </si>
  <si>
    <t xml:space="preserve">~ARS 20,000 (claimed loss; user's balance moved from ARS 427</t>
  </si>
  <si>
    <t xml:space="preserve">Spot market ETH purchase via Lemon app (no promo invoke</t>
  </si>
  <si>
    <t xml:space="preserve">~99,689.83 ARS apparent balance reduction (3,066,824.47 ARS </t>
  </si>
  <si>
    <t xml:space="preserve">Lemon Cash wallet — display of total balance (ARS-denom</t>
  </si>
  <si>
    <t xml:space="preserve">ARS $40,000.00 (single Visa credit-card payment, 12-Jun-2024</t>
  </si>
  <si>
    <t xml:space="preserve">Lemon "Pago de Servicios" — bill payment of an external</t>
  </si>
  <si>
    <t xml:space="preserve">ARS 10,000 (single transfer dated 26/07/2024 13:08)</t>
  </si>
  <si>
    <t xml:space="preserve">Outbound ARS bank transfer (fiat off-ramp via Digifin) </t>
  </si>
  <si>
    <t xml:space="preserve">ARS $10,000</t>
  </si>
  <si>
    <t xml:space="preserve">Erroneous third-party transfer into a Lemon account (no</t>
  </si>
  <si>
    <t xml:space="preserve">Up to ARS 2,000 cashback (10% of ARS 20,250 = ARS 2,025, cap</t>
  </si>
  <si>
    <t xml:space="preserve">"Pagá servicios en Lemon" — 10% cashback in USDT on bil</t>
  </si>
  <si>
    <t xml:space="preserve">Reintegro of 10% on $9,246.08 = ~$924.61 ARS in USDT (well u</t>
  </si>
  <si>
    <t xml:space="preserve">Lemon "Pago de Servicios" promotion — 10% reintegro in </t>
  </si>
  <si>
    <t xml:space="preserve">ARS 150,909.00</t>
  </si>
  <si>
    <t xml:space="preserve">Outgoing ARS transfer via Lemon to an external CBU (int</t>
  </si>
  <si>
    <t xml:space="preserve">ARS $39,612 (~0.0085 WETH, ~USD $30 at mid-2024)</t>
  </si>
  <si>
    <t xml:space="preserve">Lemon Cash crypto withdrawal flow — user sent 0.0085282</t>
  </si>
  <si>
    <t xml:space="preserve">ARS 80,000 (initial "investment") + a further ARS 80,000 dem</t>
  </si>
  <si>
    <t xml:space="preserve">Lemon app — USDT (TRC20) outgoing transfers initiated b</t>
  </si>
  <si>
    <t xml:space="preserve">Not stated in either descargo</t>
  </si>
  <si>
    <t xml:space="preserve">Crypto withdrawal / network selection (USDT transfer be</t>
  </si>
  <si>
    <t xml:space="preserve">~ARS 30,000 in AVAX (as stated by user).</t>
  </si>
  <si>
    <t xml:space="preserve">None — generic custodial-wallet outbound crypto transfe</t>
  </si>
  <si>
    <t xml:space="preserve">User alleges a 5.000 ARS gift was owed (not received). Actua</t>
  </si>
  <si>
    <t xml:space="preserve">"Comprá $ETH y ganá más $ETH" — ETH Week promotion (Lem</t>
  </si>
  <si>
    <t xml:space="preserve">ARS 12,490</t>
  </si>
  <si>
    <t xml:space="preserve">ARS outbound transfer (Retiro de ARS) from Lemon (Digif</t>
  </si>
  <si>
    <t xml:space="preserve">ARS 29,600 (transferred 2 September 2024, 17:35)</t>
  </si>
  <si>
    <t xml:space="preserve">ARS peer-to-peer transfer via Lemon (Digifin fiat rails</t>
  </si>
  <si>
    <t xml:space="preserve">Not stated; user describes only the WETH transfer (gas fees </t>
  </si>
  <si>
    <t xml:space="preserve">Crypto deposit recovery — user sent WETH (an unlisted t</t>
  </si>
  <si>
    <t xml:space="preserve">0.00392105 WETH (≈ USD 9.54 / approx. S/ 35.64) at the time </t>
  </si>
  <si>
    <t xml:space="preserve">Cross-chain deposit / withdrawal of ETH from World App </t>
  </si>
  <si>
    <t xml:space="preserve">Other</t>
  </si>
  <si>
    <t xml:space="preserve">Value of BTC 0.00027375 (~ARS 19,577.78 including a BTC 0.00</t>
  </si>
  <si>
    <t xml:space="preserve">"Pago de Servicios" — bill payment to Camuzzi Gas Pampe</t>
  </si>
  <si>
    <t xml:space="preserve">S/ 215.99 (25 WLD / ~24.998939 WLD, Oct 16, 2024)</t>
  </si>
  <si>
    <t xml:space="preserve">Worldcoin (WLD) withdrawal from World App into Lemon wa</t>
  </si>
  <si>
    <t xml:space="preserve">25 WLD (≈ S/ 213.71 PEN at the time of transfer)</t>
  </si>
  <si>
    <t xml:space="preserve">Crypto deposit (cash-in) of WLD (Worldcoin) from World </t>
  </si>
  <si>
    <t xml:space="preserve">Outbound ARS transfer from Lemon to a third-party Merca</t>
  </si>
  <si>
    <t xml:space="preserve">Not stated (referral commission, unspecified value)</t>
  </si>
  <si>
    <t xml:space="preserve">Lemon "Programa de Referidos" (referral commission)</t>
  </si>
  <si>
    <t xml:space="preserve">31.38 GRASS (~USD 31.85 al momento del depósito)</t>
  </si>
  <si>
    <t xml:space="preserve">Recuperación de depósito de token NO listado (GRASS) en</t>
  </si>
  <si>
    <t xml:space="preserve">~USD 80.05 (48.22 GRASS) menos comision de recuperacion del </t>
  </si>
  <si>
    <t xml:space="preserve">Recuperacion de tokens no listados (GRASS sobre red Sol</t>
  </si>
  <si>
    <t xml:space="preserve">ARS 70,000</t>
  </si>
  <si>
    <t xml:space="preserve">Standard ARS peer-to-peer transfer (CBU/Mercado Pago) v</t>
  </si>
  <si>
    <t xml:space="preserve">Not stated. User sent USDT on the OPBNB network (minimum rec</t>
  </si>
  <si>
    <t xml:space="preserve">Crypto recovery service for deposits sent through unsup</t>
  </si>
  <si>
    <t xml:space="preserve">ARS 20,000</t>
  </si>
  <si>
    <t xml:space="preserve">ARS peer-to-peer withdrawal (CBU transfer) from Lemon C</t>
  </si>
  <si>
    <t xml:space="preserve">USD 28.2792 (claimed lost opportunity = 91.223257 tokens x (</t>
  </si>
  <si>
    <t xml:space="preserve">Automatic migration of Fantom ($FTM) tokens to Sonic ($</t>
  </si>
  <si>
    <t xml:space="preserve">20.33 WLD (neto), aprox. USD 24.80 (segun explorer)</t>
  </si>
  <si>
    <t xml:space="preserve">Retiro (withdrawal) de 20.33 WLD desde Lemon a billeter</t>
  </si>
  <si>
    <t xml:space="preserve">S/ 50 PEN (el descargo de Lemon menciona erróneamente "SOLES</t>
  </si>
  <si>
    <t xml:space="preserve">Envío de soles (PEN) vía Plin desde Lemon — operación d</t>
  </si>
  <si>
    <t xml:space="preserve">ARS 51.000 total ($35.000 + $16.000)</t>
  </si>
  <si>
    <t xml:space="preserve">Transferencias ARS — (a) retiro saliente de $35.000 y (</t>
  </si>
  <si>
    <t xml:space="preserve">~170 Peruvian soles (deposits of 100 + 20 + 50 PEN), corresp</t>
  </si>
  <si>
    <t xml:space="preserve">None — third-party "CEO" scam via WhatsApp impersonatin</t>
  </si>
  <si>
    <t xml:space="preserve">31.29 USDC (monto bruto; 30.29 USDC netos) — equivalente dec</t>
  </si>
  <si>
    <t xml:space="preserve">Retiro de USDC desde Lemon a una dirección externa (Coi</t>
  </si>
  <si>
    <t xml:space="preserve">EUR 50,00 (sent 21/03/2025 from Jonathan Stiven Lemus, BBVA,</t>
  </si>
  <si>
    <t xml:space="preserve">Receipt of an inbound European bank transfer (EUR via B</t>
  </si>
  <si>
    <t xml:space="preserve">ARS 89,890 (purchase dated 5 March 2025, 20:11)</t>
  </si>
  <si>
    <t xml:space="preserve">Lemon Card (VISA Física *7998) — disputed point-of-sale</t>
  </si>
  <si>
    <t xml:space="preserve">287.07856623 CRO (~USD 30.14 per user's blockchain explorer </t>
  </si>
  <si>
    <t xml:space="preserve">External deposit of CRO (Cronos) from Stake to Lemon ov</t>
  </si>
  <si>
    <t xml:space="preserve">ARS 74.855,52 (monto 58.463,80 + impuestos 16.391,72), 30 Ma</t>
  </si>
  <si>
    <t xml:space="preserve">Lemon Card (VISA física *6301) — pago con tarjeta a APP</t>
  </si>
  <si>
    <t xml:space="preserve">ARS 6.000,00 (transferred 03 April 2025 18:54)</t>
  </si>
  <si>
    <t xml:space="preserve">Lemon transfer dispute — unauthorized outbound ARS tran</t>
  </si>
  <si>
    <t xml:space="preserve">USD 28 (según descargo de Lemon); el usuario menciona "zll d</t>
  </si>
  <si>
    <t xml:space="preserve">Depósito a Lemon de un token enviado desde una wallet e</t>
  </si>
  <si>
    <t xml:space="preserve">ARS withdrawal (transferencia bancaria saliente) via Le</t>
  </si>
  <si>
    <t xml:space="preserve">S/ 100 (uno de dos débitos de S/ 100 por la misma operación)</t>
  </si>
  <si>
    <t xml:space="preserve">Envío de Soles vía Yape (cash-out PEN) desde Lemon — du</t>
  </si>
  <si>
    <t xml:space="preserve">USD 29.99 (Apple charge) / ARS 49,344.05 (amount debited fro</t>
  </si>
  <si>
    <t xml:space="preserve">Lemon Card payment to APPLE.COM/BILL for an EPIK PRO 1-</t>
  </si>
  <si>
    <t xml:space="preserve">ARS 5.000,00 (transferencia del 30/04/2025, 11:03 hs)</t>
  </si>
  <si>
    <t xml:space="preserve">Retiro de ARS (transferencia saliente) vía Lemon / Digi</t>
  </si>
  <si>
    <t xml:space="preserve">0.01034325 ETH + 0.02560952 ETH = 0.03595277 ETH (≈ two with</t>
  </si>
  <si>
    <t xml:space="preserve">ETH withdrawal (network selection) on Lemon Cash platfo</t>
  </si>
  <si>
    <t xml:space="preserve">$2.981,81 ARS (18/03/2025) + 22,44 DAI ≈ $28.359,78 ARS (21/</t>
  </si>
  <si>
    <t xml:space="preserve">Lemon Card (VISA Física *4811) — débitos disputados por</t>
  </si>
  <si>
    <t xml:space="preserve">ARS 28,000</t>
  </si>
  <si>
    <t xml:space="preserve">P2P transfer via Mercado Pago to a third-party Lemon us</t>
  </si>
  <si>
    <t xml:space="preserve">Approximately S/ 41 (PEN) across three Lemon-side cash-outs </t>
  </si>
  <si>
    <t xml:space="preserve">Lemon Cash Peru — fiat cash-out (PEN) transfers to exte</t>
  </si>
  <si>
    <t xml:space="preserve">S/ 121.39 (30 WLD), sent 8 Jun 2025 11:49 to `0x33a9459a40af</t>
  </si>
  <si>
    <t xml:space="preserve">Worldcoin (WLD) deposit/transfer to a Lemon-associated </t>
  </si>
  <si>
    <t xml:space="preserve">~S/ 108.32 (29.99908 WLD)</t>
  </si>
  <si>
    <t xml:space="preserve">Crypto deposit (WLD from World App to Lemon)</t>
  </si>
  <si>
    <t xml:space="preserve">100 USDT</t>
  </si>
  <si>
    <t xml:space="preserve">Crypto deposit — USDT transfer from Binance to Lemon vi</t>
  </si>
  <si>
    <t xml:space="preserve">ARS 10,000</t>
  </si>
  <si>
    <t xml:space="preserve">Retiro ARS a CBU/alias externo (transferencia bancaria </t>
  </si>
  <si>
    <t xml:space="preserve">1.39 USDC</t>
  </si>
  <si>
    <t xml:space="preserve">Wallet-to-wallet USDC transfer (Lemon platform, Peru). </t>
  </si>
  <si>
    <t xml:space="preserve">S/ 18.26 PEN (single charge of 12 July 2025, 10:35 hs)</t>
  </si>
  <si>
    <t xml:space="preserve">Lemon Card (VISA Física *7744) — disputed card payment </t>
  </si>
  <si>
    <t xml:space="preserve">50.01 USDC (~USD 50)</t>
  </si>
  <si>
    <t xml:space="preserve">Stellar (USDC) deposit to a Lemon account</t>
  </si>
  <si>
    <t xml:space="preserve">134 USDT (133 USDT net + 1 USDT network fee)</t>
  </si>
  <si>
    <t xml:space="preserve">USDT withdrawal on Polygon network (self-custody crypto</t>
  </si>
  <si>
    <t xml:space="preserve">ARS 5,278.40 (Tx ID `fabaaa37-1520-4...e00b`, 25/9/2025)</t>
  </si>
  <si>
    <t xml:space="preserve">Lemon Card (virtual) — recurring debit to SPOTIFY</t>
  </si>
  <si>
    <t xml:space="preserve">PEN 50.00</t>
  </si>
  <si>
    <t xml:space="preserve">PEN (Soles Peruanos) outbound transfer from Lemon walle</t>
  </si>
  <si>
    <t xml:space="preserve">ARS 9.291</t>
  </si>
  <si>
    <t xml:space="preserve">Lemon Card (physical VISA) — failed/cancelled card purc</t>
  </si>
  <si>
    <t xml:space="preserve">28.37 USDT (net 27.37 USDT after 1 USDT fee)</t>
  </si>
  <si>
    <t xml:space="preserve">USDT withdrawal — manual network selection (BEP20 vs ER</t>
  </si>
  <si>
    <t xml:space="preserve">PEN 65.67</t>
  </si>
  <si>
    <t xml:space="preserve">Lemon Cash — peer-to-peer fiat transfer to a Yape (Peru</t>
  </si>
  <si>
    <t xml:space="preserve">~$45,000 ARS (in ETH equivalent), per user. Lemon traces an </t>
  </si>
  <si>
    <t xml:space="preserve">Lemon Card — moneda de respaldo (ETH backup currency) a</t>
  </si>
  <si>
    <t xml:space="preserve">ARS 110.000</t>
  </si>
  <si>
    <t xml:space="preserve">ARS withdrawal (Retiro de ARS) via Lemon — CBU transfer</t>
  </si>
  <si>
    <t xml:space="preserve">Flip Log — the 11 cases that changed verdict (v4.7 → v4.8)</t>
  </si>
  <si>
    <t xml:space="preserve">10 moved toward the platform (User→Lemon); 1 moved toward the consumer (Lemon→User). Two reversed a 'High'-confidence v4.7 verdict.</t>
  </si>
  <si>
    <t xml:space="preserve">Case</t>
  </si>
  <si>
    <t xml:space="preserve">Amount</t>
  </si>
  <si>
    <t xml:space="preserve">Conf.</t>
  </si>
  <si>
    <t xml:space="preserve">Direction</t>
  </si>
  <si>
    <t xml:space="preserve">Why v4.7 ruled this way</t>
  </si>
  <si>
    <t xml:space="preserve">Why v4.8 ruled this way</t>
  </si>
  <si>
    <t xml:space="preserve">Driver(s)</t>
  </si>
  <si>
    <t xml:space="preserve">High-conf. reversal?</t>
  </si>
  <si>
    <t xml:space="preserve">Unauthorized card charge</t>
  </si>
  <si>
    <t xml:space="preserve">USD 218</t>
  </si>
  <si>
    <t xml:space="preserve">Lemon→User</t>
  </si>
  <si>
    <t xml:space="preserve">Put the burden on the user to show Lemon's security perimeter failed; the login log (same stolen Device ID, valid credentials re-entered after the 5-min timeout) placed the breach at the user's own credential layer, so Protección / in dubio could not reallocate the loss.</t>
  </si>
  <si>
    <t xml:space="preserve">Read the SAME device-ID log as corroborating the documented street-theft (~39 min earlier); Lemon's 'must have been phished' theory was speculative and unproven, so genuine doubt resolved pro consumidor for the user.</t>
  </si>
  <si>
    <t xml:space="preserve">D4, D5</t>
  </si>
  <si>
    <t xml:space="preserve">No — lone pro-consumer flip</t>
  </si>
  <si>
    <t xml:space="preserve">Wrong-network deposit</t>
  </si>
  <si>
    <t xml:space="preserve">User→Lemon</t>
  </si>
  <si>
    <t xml:space="preserve">Unrebutted on-chain trail showed funds reached a Lemon-controlled address then moved to Binance; Lemon's own admission it was 'working with the provider to refund' showed recovery was feasible and contradicted its no-access defence.</t>
  </si>
  <si>
    <t xml:space="preserve">Explorer screenshots show only truncated '0x' fields — 'Lemon has access' is unproven; the user conceded the T&amp;C disclosed unsupported-network risk, so the loss flows from his own authorised act and 'industry custom' can't override disclosed terms.</t>
  </si>
  <si>
    <t xml:space="preserve">D1, D3, D5</t>
  </si>
  <si>
    <t xml:space="preserve">No</t>
  </si>
  <si>
    <t xml:space="preserve">Disputed merchant charge</t>
  </si>
  <si>
    <t xml:space="preserve">ARS 15,494</t>
  </si>
  <si>
    <t xml:space="preserve">Two unrebutted Hostinger/dLocal emails ('no record of the payment') shifted the burden to Lemon, which offered only behavioural proxies (prior merchant use, same-day cashback) and no settlement or authentication record.</t>
  </si>
  <si>
    <t xml:space="preserve">The processor 'no record / ask your bank' reply is a routine deflection, not proof of fraud; Lemon's unrebutted prior-merchant history plus the user's own same-day cashback conversion evidence account control, so no Lemon failure is shown.</t>
  </si>
  <si>
    <t xml:space="preserve">D1, D5</t>
  </si>
  <si>
    <t xml:space="preserve">Card-not-present (Xsolla)</t>
  </si>
  <si>
    <t xml:space="preserve">~USD 60</t>
  </si>
  <si>
    <t xml:space="preserve">Strong prima facie fraud — card dormant since 2022, the 2020 Xsolla receipt used a different method (the Lemon card didn't yet exist), making Lemon's 'you already gave Xsolla the data' factually wrong; Lemon produced no 3DS / PIN / IP evidence.</t>
  </si>
  <si>
    <t xml:space="preserve">Agrees Lemon's specific argument is weak, but holds a weak defence does not discharge the USER's burden — a card-not-present charge to a real processor shows third-party data compromise, not a demonstrated Lemon security failure; a factual dispute does not trigger in dubio.</t>
  </si>
  <si>
    <t xml:space="preserve">D1, D4</t>
  </si>
  <si>
    <t xml:space="preserve">YES — v4.7 was High</t>
  </si>
  <si>
    <t xml:space="preserve">Card-not-present (ABL tax)</t>
  </si>
  <si>
    <t xml:space="preserve">ARS 7,172</t>
  </si>
  <si>
    <t xml:space="preserve">Credited a coherent, document-supported denial (Chaco resident vs a Buenos Aires city tax, corroborated by a third-party statement); Lemon, best placed to produce device/IP/3DS data, produced none.</t>
  </si>
  <si>
    <t xml:space="preserve">Residence proves nothing about a Lemon failure — card-not-present fraud is location-independent; the controversy is factual not a term ambiguity, so in dubio isn't engaged and no Lemon breach is proven.</t>
  </si>
  <si>
    <t xml:space="preserve">D1, D4, D5</t>
  </si>
  <si>
    <t xml:space="preserve">Unlisted-asset withdrawal</t>
  </si>
  <si>
    <t xml:space="preserve">~USD 30</t>
  </si>
  <si>
    <t xml:space="preserve">Lemon's own UI screen titled 'Retiro de Ethereum' with an ETH icon and 'Con éxito' but a WETH quantity was internally inconsistent and misleading; T&amp;C 13.7 (unlisted-asset immunity) could not override the Información / Transparencia duties.</t>
  </si>
  <si>
    <t xml:space="preserve">The user's own screenshot shows a successful, user-authorised, irreversible withdrawal; 13.7 is a legitimate limit consistent with the policy (an exchange can't reflect a token it doesn't list) and Lemon met its info/education duties — the loss is the user's own act.</t>
  </si>
  <si>
    <t xml:space="preserve">D1, D2, D3</t>
  </si>
  <si>
    <t xml:space="preserve">No (v4.8 raised conf. to High)</t>
  </si>
  <si>
    <t xml:space="preserve">Unlisted token (GRASS)</t>
  </si>
  <si>
    <t xml:space="preserve">~USD 32</t>
  </si>
  <si>
    <t xml:space="preserve">Lemon's own published FAQ (recovery for non-ERC20 networks from USD 1 at 10%) was the binding 'offer as presented'; Lemon had to apply it or prove case-specific technical impossibility, which it never did.</t>
  </si>
  <si>
    <t xml:space="preserve">The FAQ is expressly conditional ('we review whether it can be recovered … if we can recover them'), not a promise; GRASS is undisputedly unlisted so T&amp;C 13.7 applies, and support had already told the user it was unrecoverable — no genuine ambiguity.</t>
  </si>
  <si>
    <t xml:space="preserve">D3, D2, D1</t>
  </si>
  <si>
    <t xml:space="preserve">~USD 80</t>
  </si>
  <si>
    <t xml:space="preserve">Same FAQ-as-offer logic as Case 80, reinforced by Lemon listing BSOL (proof it already operates the Solana network), so a blanket impossibility defence failed; the 13.7 catch-all couldn't override Section A.</t>
  </si>
  <si>
    <t xml:space="preserve">Materially identical to Case 80 — the conditional FAQ is no promise, 13.7 governs the unlisted token, the user over-read an explicit condition; in dubio is not triggered.</t>
  </si>
  <si>
    <t xml:space="preserve">Migration delay / valuation</t>
  </si>
  <si>
    <t xml:space="preserve">USD 28</t>
  </si>
  <si>
    <t xml:space="preserve">Parsed Lemon's 9 Jan email as two distinct promises and found the dated 14/01 conversion was breached (credited only on 20/01, six days late); the breach was established even though quantum was speculative.</t>
  </si>
  <si>
    <t xml:space="preserve">The email disclosed BOTH the ~14/01 conversion and that functions 'may be limited for a few days', so the risk was disclosed up front; the migration was 1:1, the loss is an unrealised theoretical gain, and the user conceded the message 'fue claro'.</t>
  </si>
  <si>
    <t xml:space="preserve">D3, D1</t>
  </si>
  <si>
    <t xml:space="preserve">Duplicate transfer (Yape)</t>
  </si>
  <si>
    <t xml:space="preserve">S/ 100</t>
  </si>
  <si>
    <t xml:space="preserve">The two debits shared identical metadata — same recipient, CCI, phone and the SAME free-text message 48 seconds apart — the signature of one retried transfer after a UI error, which Lemon never rebutted point-by-point.</t>
  </si>
  <si>
    <t xml:space="preserve">The two cash-outs carry distinct operation numbers and transaction IDs to the same valid CCI — hallmarks of two separately-authorised transfers, not a system duplicate; whether the payee received the second is a downstream Yape matter.</t>
  </si>
  <si>
    <t xml:space="preserve">D5, D1</t>
  </si>
  <si>
    <t xml:space="preserve">Transfer not credited</t>
  </si>
  <si>
    <t xml:space="preserve">PEN 50</t>
  </si>
  <si>
    <t xml:space="preserve">Lemon's own 'Constancia de envío' success voucher is a certification of a completed act; its ~2-month-later 'no se realizó' retraction, with no explanation or remediation and an unexplained operation-ID digit discrepancy, was a textbook transparency violation.</t>
  </si>
  <si>
    <t xml:space="preserve">Both the user's voucher AND Lemon's back-office panel show 'Completada' to the exact intended recipient/CCI; the pivotal 'no se realizó' notice was never put in evidence by either side, so the asserted Lemon failure is unproven — decide on the record.</t>
  </si>
  <si>
    <t xml:space="preserve">Change Drivers — the mechanisms behind the v4.7 → v4.8 flips</t>
  </si>
  <si>
    <t xml:space="preserve">Drivers overlap: a single flip usually combines two or three. Counts = flips where that mechanism was operative.</t>
  </si>
  <si>
    <t xml:space="preserve">Code</t>
  </si>
  <si>
    <t xml:space="preserve">Mechanism</t>
  </si>
  <si>
    <t xml:space="preserve">Definition</t>
  </si>
  <si>
    <t xml:space="preserve">Flips</t>
  </si>
  <si>
    <t xml:space="preserve">Cases</t>
  </si>
  <si>
    <t xml:space="preserve">D1</t>
  </si>
  <si>
    <t xml:space="preserve">Burden of proof relocated to the claimant</t>
  </si>
  <si>
    <t xml:space="preserve">v4.8 requires the user to affirmatively prove a Lemon-side breach; a weak or thin platform defence is no longer enough to hand the user the win. v4.7 instead shifted the burden onto Lemon once the user made a coherent prima facie showing.</t>
  </si>
  <si>
    <t xml:space="preserve">10</t>
  </si>
  <si>
    <t xml:space="preserve">7, 11, 25, 27, 56, 80, 81, 85, 100, 117</t>
  </si>
  <si>
    <t xml:space="preserve">D2</t>
  </si>
  <si>
    <t xml:space="preserve">T&amp;C clause read as policy-consistent, not overridden</t>
  </si>
  <si>
    <t xml:space="preserve">v4.8 treats clauses such as 13.7 (unlisted assets) and 5.1/5.2 (chargeback routing) as legitimate operational limits consistent with the policy. v4.7 routinely applied a 'Sección B: a catch-all immunity cannot override Sección A' move to set such clauses aside.</t>
  </si>
  <si>
    <t xml:space="preserve">3</t>
  </si>
  <si>
    <t xml:space="preserve">56, 80, 81</t>
  </si>
  <si>
    <t xml:space="preserve">D3</t>
  </si>
  <si>
    <t xml:space="preserve">'As-presented' offer read literally / conditionally</t>
  </si>
  <si>
    <t xml:space="preserve">Vouchers, FAQs and announcement emails that v4.7 treated as binding 'offer-as-presented' promises, v4.8 reads as conditional, already-disclosed, or not a promise at all (e.g. a FAQ saying 'if we can recover them').</t>
  </si>
  <si>
    <t xml:space="preserve">5</t>
  </si>
  <si>
    <t xml:space="preserve">7, 56, 80, 81, 85</t>
  </si>
  <si>
    <t xml:space="preserve">D4</t>
  </si>
  <si>
    <t xml:space="preserve">in dubio pro consumidor confined to genuine textual ambiguity</t>
  </si>
  <si>
    <t xml:space="preserve">v4.8 reserves the pro-consumer tiebreaker for genuine ambiguity in the TERMS and declines to apply it to FACTUAL disputes (was it fraud? was it a duplicate?). v4.7 used it more readily as a reinforcing tiebreaker. (In Case 4 the stricter test cut the other way and favoured the consumer.)</t>
  </si>
  <si>
    <t xml:space="preserve">4, 25, 27</t>
  </si>
  <si>
    <t xml:space="preserve">D5</t>
  </si>
  <si>
    <t xml:space="preserve">Pivotal evidence reweighted</t>
  </si>
  <si>
    <t xml:space="preserve">The same exhibit is read to the opposite conclusion — e.g. a device-ID log as theft-corroboration vs user-fault (4); identical transfer metadata as a duplicate vs two distinct authorised cash-outs (100); a processor 'no record' email as proof of fraud vs routine deflection (11).</t>
  </si>
  <si>
    <t xml:space="preserve">6</t>
  </si>
  <si>
    <t xml:space="preserve">4, 7, 11, 27, 100, 117</t>
  </si>
  <si>
    <t xml:space="preserve">Headline: in all 10 cases that moved toward the platform, the operative change is D1 — v4.8 holds the claimant to a strict burden of proof and will not convert a weak Lemon defence into a consumer win. The single consumer-ward flip (Case 4) comes from the same rigour applied to Lemon's unproven exculpatory theory.</t>
  </si>
</sst>
</file>

<file path=xl/styles.xml><?xml version="1.0" encoding="utf-8"?>
<styleSheet xmlns="http://schemas.openxmlformats.org/spreadsheetml/2006/main">
  <numFmts count="3">
    <numFmt numFmtId="164" formatCode="General"/>
    <numFmt numFmtId="165" formatCode="0"/>
    <numFmt numFmtId="166" formatCode="0.0%"/>
  </numFmts>
  <fonts count="28">
    <font>
      <sz val="11"/>
      <color theme="1"/>
      <name val="Calibri"/>
      <family val="2"/>
      <charset val="1"/>
    </font>
    <font>
      <sz val="10"/>
      <name val="Arial"/>
      <family val="0"/>
    </font>
    <font>
      <sz val="10"/>
      <name val="Arial"/>
      <family val="0"/>
    </font>
    <font>
      <sz val="10"/>
      <name val="Arial"/>
      <family val="0"/>
    </font>
    <font>
      <b val="true"/>
      <sz val="18"/>
      <color rgb="FF1F2A44"/>
      <name val="Cambria"/>
      <family val="0"/>
      <charset val="1"/>
    </font>
    <font>
      <i val="true"/>
      <sz val="11"/>
      <color rgb="FF2E5AAC"/>
      <name val="Cambria"/>
      <family val="0"/>
      <charset val="1"/>
    </font>
    <font>
      <b val="true"/>
      <sz val="12"/>
      <color rgb="FF2E5AAC"/>
      <name val="Cambria"/>
      <family val="0"/>
      <charset val="1"/>
    </font>
    <font>
      <sz val="10"/>
      <name val="Calibri"/>
      <family val="0"/>
      <charset val="1"/>
    </font>
    <font>
      <sz val="9"/>
      <color rgb="FF555555"/>
      <name val="Calibri"/>
      <family val="0"/>
      <charset val="1"/>
    </font>
    <font>
      <b val="true"/>
      <sz val="10"/>
      <color rgb="FFFFFFFF"/>
      <name val="Cambria"/>
      <family val="0"/>
      <charset val="1"/>
    </font>
    <font>
      <b val="true"/>
      <sz val="20"/>
      <color rgb="FF1F2A44"/>
      <name val="Cambria"/>
      <family val="0"/>
      <charset val="1"/>
    </font>
    <font>
      <b val="true"/>
      <sz val="11"/>
      <color rgb="FFFFFFFF"/>
      <name val="Calibri"/>
      <family val="0"/>
      <charset val="1"/>
    </font>
    <font>
      <b val="true"/>
      <sz val="11"/>
      <name val="Calibri"/>
      <family val="0"/>
      <charset val="1"/>
    </font>
    <font>
      <b val="true"/>
      <sz val="10"/>
      <color rgb="FFB45309"/>
      <name val="Cambria"/>
      <family val="0"/>
      <charset val="1"/>
    </font>
    <font>
      <b val="true"/>
      <sz val="10"/>
      <color rgb="FF3F6212"/>
      <name val="Cambria"/>
      <family val="0"/>
      <charset val="1"/>
    </font>
    <font>
      <b val="true"/>
      <sz val="18"/>
      <color rgb="FF000000"/>
      <name val="Calibri"/>
      <family val="2"/>
    </font>
    <font>
      <sz val="10"/>
      <color rgb="FF000000"/>
      <name val="Calibri"/>
      <family val="2"/>
    </font>
    <font>
      <b val="true"/>
      <sz val="10"/>
      <color rgb="FF000000"/>
      <name val="Calibri"/>
      <family val="2"/>
    </font>
    <font>
      <b val="true"/>
      <sz val="14"/>
      <color rgb="FF1F2A44"/>
      <name val="Cambria"/>
      <family val="0"/>
      <charset val="1"/>
    </font>
    <font>
      <b val="true"/>
      <sz val="10"/>
      <color rgb="FFB45309"/>
      <name val="Calibri"/>
      <family val="0"/>
      <charset val="1"/>
    </font>
    <font>
      <b val="true"/>
      <sz val="10"/>
      <color rgb="FF3F6212"/>
      <name val="Calibri"/>
      <family val="0"/>
      <charset val="1"/>
    </font>
    <font>
      <i val="true"/>
      <sz val="9"/>
      <color rgb="FF2E5AAC"/>
      <name val="Cambria"/>
      <family val="0"/>
      <charset val="1"/>
    </font>
    <font>
      <sz val="9"/>
      <name val="Calibri"/>
      <family val="0"/>
      <charset val="1"/>
    </font>
    <font>
      <b val="true"/>
      <sz val="9"/>
      <color rgb="FFB45309"/>
      <name val="Cambria"/>
      <family val="0"/>
      <charset val="1"/>
    </font>
    <font>
      <b val="true"/>
      <sz val="9"/>
      <color rgb="FF3F6212"/>
      <name val="Cambria"/>
      <family val="0"/>
      <charset val="1"/>
    </font>
    <font>
      <b val="true"/>
      <sz val="10"/>
      <color rgb="FF1F2A44"/>
      <name val="Cambria"/>
      <family val="0"/>
      <charset val="1"/>
    </font>
    <font>
      <b val="true"/>
      <sz val="10"/>
      <name val="Cambria"/>
      <family val="0"/>
      <charset val="1"/>
    </font>
    <font>
      <b val="true"/>
      <sz val="12"/>
      <color rgb="FFC9A227"/>
      <name val="Cambria"/>
      <family val="0"/>
      <charset val="1"/>
    </font>
  </fonts>
  <fills count="10">
    <fill>
      <patternFill patternType="none"/>
    </fill>
    <fill>
      <patternFill patternType="gray125"/>
    </fill>
    <fill>
      <patternFill patternType="solid">
        <fgColor rgb="FF2E5AAC"/>
        <bgColor rgb="FF3366FF"/>
      </patternFill>
    </fill>
    <fill>
      <patternFill patternType="solid">
        <fgColor rgb="FFC9A227"/>
        <bgColor rgb="FF99CC00"/>
      </patternFill>
    </fill>
    <fill>
      <patternFill patternType="solid">
        <fgColor rgb="FFF2F2F2"/>
        <bgColor rgb="FFFCE9D8"/>
      </patternFill>
    </fill>
    <fill>
      <patternFill patternType="solid">
        <fgColor rgb="FFB45309"/>
        <bgColor rgb="FFC0504D"/>
      </patternFill>
    </fill>
    <fill>
      <patternFill patternType="solid">
        <fgColor rgb="FF1F2A44"/>
        <bgColor rgb="FF003366"/>
      </patternFill>
    </fill>
    <fill>
      <patternFill patternType="solid">
        <fgColor rgb="FFFCE9D8"/>
        <bgColor rgb="FFFFF3C4"/>
      </patternFill>
    </fill>
    <fill>
      <patternFill patternType="solid">
        <fgColor rgb="FFDDEBD8"/>
        <bgColor rgb="FFD9D9D9"/>
      </patternFill>
    </fill>
    <fill>
      <patternFill patternType="solid">
        <fgColor rgb="FFFFF3C4"/>
        <bgColor rgb="FFFCE9D8"/>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center" vertical="bottom" textRotation="0" wrapText="false" indent="0" shrinkToFit="false"/>
      <protection locked="true" hidden="false"/>
    </xf>
    <xf numFmtId="164" fontId="9" fillId="3" borderId="0" xfId="0" applyFont="true" applyBorder="true" applyAlignment="true" applyProtection="false">
      <alignment horizontal="center" vertical="bottom" textRotation="0" wrapText="false" indent="0" shrinkToFit="false"/>
      <protection locked="true" hidden="false"/>
    </xf>
    <xf numFmtId="165" fontId="10" fillId="4" borderId="0" xfId="0" applyFont="true" applyBorder="true" applyAlignment="true" applyProtection="false">
      <alignment horizontal="center" vertical="bottom" textRotation="0" wrapText="false" indent="0" shrinkToFit="false"/>
      <protection locked="true" hidden="false"/>
    </xf>
    <xf numFmtId="166" fontId="10" fillId="4" borderId="0"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4" fontId="9" fillId="5" borderId="0" xfId="0" applyFont="true" applyBorder="true" applyAlignment="true" applyProtection="false">
      <alignment horizontal="center" vertical="bottom" textRotation="0" wrapText="fals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left" vertical="bottom" textRotation="0" wrapText="false" indent="0" shrinkToFit="false"/>
      <protection locked="true" hidden="false"/>
    </xf>
    <xf numFmtId="164" fontId="7" fillId="7" borderId="1" xfId="0" applyFont="true" applyBorder="true" applyAlignment="true" applyProtection="false">
      <alignment horizontal="center" vertical="bottom" textRotation="0" wrapText="false" indent="0" shrinkToFit="false"/>
      <protection locked="true" hidden="false"/>
    </xf>
    <xf numFmtId="164" fontId="13" fillId="7" borderId="1" xfId="0" applyFont="true" applyBorder="true" applyAlignment="true" applyProtection="false">
      <alignment horizontal="center" vertical="bottom" textRotation="0" wrapText="false" indent="0" shrinkToFit="false"/>
      <protection locked="true" hidden="false"/>
    </xf>
    <xf numFmtId="164" fontId="12" fillId="8" borderId="1" xfId="0" applyFont="true" applyBorder="true" applyAlignment="true" applyProtection="false">
      <alignment horizontal="left" vertical="bottom" textRotation="0" wrapText="false" indent="0" shrinkToFit="false"/>
      <protection locked="true" hidden="false"/>
    </xf>
    <xf numFmtId="164" fontId="7" fillId="8" borderId="1" xfId="0" applyFont="true" applyBorder="true" applyAlignment="true" applyProtection="false">
      <alignment horizontal="center" vertical="bottom" textRotation="0" wrapText="false" indent="0" shrinkToFit="false"/>
      <protection locked="true" hidden="false"/>
    </xf>
    <xf numFmtId="164" fontId="14" fillId="8"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left" vertical="bottom" textRotation="0" wrapText="fals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19" fillId="7" borderId="1" xfId="0" applyFont="true" applyBorder="true" applyAlignment="true" applyProtection="false">
      <alignment horizontal="center" vertical="center" textRotation="0" wrapText="false" indent="0" shrinkToFit="false"/>
      <protection locked="true" hidden="false"/>
    </xf>
    <xf numFmtId="164" fontId="20" fillId="8" borderId="1" xfId="0" applyFont="true" applyBorder="true" applyAlignment="true" applyProtection="false">
      <alignment horizontal="center" vertical="center"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true" applyProtection="false">
      <alignment horizontal="center" vertical="top" textRotation="0" wrapText="true" indent="0" shrinkToFit="false"/>
      <protection locked="true" hidden="false"/>
    </xf>
    <xf numFmtId="164" fontId="22" fillId="0" borderId="1" xfId="0" applyFont="true" applyBorder="true" applyAlignment="true" applyProtection="false">
      <alignment horizontal="left" vertical="top" textRotation="0" wrapText="true" indent="0" shrinkToFit="false"/>
      <protection locked="true" hidden="false"/>
    </xf>
    <xf numFmtId="164" fontId="23" fillId="7" borderId="1" xfId="0" applyFont="true" applyBorder="true" applyAlignment="true" applyProtection="false">
      <alignment horizontal="center" vertical="top" textRotation="0" wrapText="true" indent="0" shrinkToFit="false"/>
      <protection locked="true" hidden="false"/>
    </xf>
    <xf numFmtId="164" fontId="24" fillId="8" borderId="1" xfId="0" applyFont="true" applyBorder="true" applyAlignment="true" applyProtection="false">
      <alignment horizontal="center" vertical="top" textRotation="0" wrapText="true" indent="0" shrinkToFit="false"/>
      <protection locked="true" hidden="false"/>
    </xf>
    <xf numFmtId="164" fontId="22" fillId="8" borderId="1" xfId="0" applyFont="true" applyBorder="true" applyAlignment="true" applyProtection="false">
      <alignment horizontal="center" vertical="top" textRotation="0" wrapText="true" indent="0" shrinkToFit="false"/>
      <protection locked="true" hidden="false"/>
    </xf>
    <xf numFmtId="164" fontId="23" fillId="9" borderId="1" xfId="0" applyFont="true" applyBorder="true" applyAlignment="true" applyProtection="false">
      <alignment horizontal="center" vertical="top" textRotation="0" wrapText="true" indent="0" shrinkToFit="false"/>
      <protection locked="true" hidden="false"/>
    </xf>
    <xf numFmtId="164" fontId="25" fillId="0" borderId="1" xfId="0" applyFont="true" applyBorder="true" applyAlignment="true" applyProtection="false">
      <alignment horizontal="center" vertical="top" textRotation="0" wrapText="true" indent="0" shrinkToFit="false"/>
      <protection locked="true" hidden="false"/>
    </xf>
    <xf numFmtId="164" fontId="26" fillId="0" borderId="1" xfId="0" applyFont="true" applyBorder="true" applyAlignment="true" applyProtection="false">
      <alignment horizontal="left" vertical="top" textRotation="0" wrapText="true" indent="0" shrinkToFit="false"/>
      <protection locked="true" hidden="false"/>
    </xf>
    <xf numFmtId="164" fontId="27" fillId="0" borderId="1" xfId="0" applyFont="true" applyBorder="true" applyAlignment="true" applyProtection="false">
      <alignment horizontal="center" vertical="top" textRotation="0" wrapText="true" indent="0" shrinkToFit="false"/>
      <protection locked="true" hidden="false"/>
    </xf>
    <xf numFmtId="164" fontId="9" fillId="2" borderId="0"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FF3C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78787"/>
      <rgbColor rgb="FF9999FF"/>
      <rgbColor rgb="FFC0504D"/>
      <rgbColor rgb="FFFFF3C4"/>
      <rgbColor rgb="FFF2F2F2"/>
      <rgbColor rgb="FF660066"/>
      <rgbColor rgb="FFFF8080"/>
      <rgbColor rgb="FF2E5AAC"/>
      <rgbColor rgb="FFD9D9D9"/>
      <rgbColor rgb="FF000080"/>
      <rgbColor rgb="FFFF00FF"/>
      <rgbColor rgb="FFFFFF00"/>
      <rgbColor rgb="FF00FFFF"/>
      <rgbColor rgb="FF800080"/>
      <rgbColor rgb="FF800000"/>
      <rgbColor rgb="FF008080"/>
      <rgbColor rgb="FF0000FF"/>
      <rgbColor rgb="FF00CCFF"/>
      <rgbColor rgb="FFCCFFFF"/>
      <rgbColor rgb="FFDDEBD8"/>
      <rgbColor rgb="FFFCE9D8"/>
      <rgbColor rgb="FF99CCFF"/>
      <rgbColor rgb="FFFF99CC"/>
      <rgbColor rgb="FFCC99FF"/>
      <rgbColor rgb="FFFFCC99"/>
      <rgbColor rgb="FF3366FF"/>
      <rgbColor rgb="FF33CCCC"/>
      <rgbColor rgb="FF99CC00"/>
      <rgbColor rgb="FFFFCC00"/>
      <rgbColor rgb="FFC9A227"/>
      <rgbColor rgb="FFFF6600"/>
      <rgbColor rgb="FF4F81BD"/>
      <rgbColor rgb="FF969696"/>
      <rgbColor rgb="FF003366"/>
      <rgbColor rgb="FF339966"/>
      <rgbColor rgb="FF003300"/>
      <rgbColor rgb="FF3F6212"/>
      <rgbColor rgb="FFB45309"/>
      <rgbColor rgb="FF993366"/>
      <rgbColor rgb="FF555555"/>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Verdict distribution by model version</a:t>
            </a:r>
          </a:p>
        </c:rich>
      </c:tx>
      <c:overlay val="0"/>
      <c:spPr>
        <a:noFill/>
        <a:ln w="0">
          <a:noFill/>
        </a:ln>
      </c:spPr>
    </c:title>
    <c:autoTitleDeleted val="0"/>
    <c:plotArea>
      <c:barChart>
        <c:barDir val="col"/>
        <c:grouping val="clustered"/>
        <c:varyColors val="0"/>
        <c:ser>
          <c:idx val="0"/>
          <c:order val="0"/>
          <c:tx>
            <c:strRef>
              <c:f>Dashboard!C15</c:f>
              <c:strCache>
                <c:ptCount val="1"/>
                <c:pt idx="0">
                  <c:v>v4.7</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Dashboard!$B$16:$B$17</c:f>
              <c:strCache>
                <c:ptCount val="2"/>
                <c:pt idx="0">
                  <c:v>Rule for Lemon</c:v>
                </c:pt>
                <c:pt idx="1">
                  <c:v>Rule for the User</c:v>
                </c:pt>
              </c:strCache>
            </c:strRef>
          </c:cat>
          <c:val>
            <c:numRef>
              <c:f>Dashboard!$C$16:$C$17</c:f>
              <c:numCache>
                <c:formatCode>General</c:formatCode>
                <c:ptCount val="2"/>
                <c:pt idx="0">
                  <c:v>85</c:v>
                </c:pt>
                <c:pt idx="1">
                  <c:v>14</c:v>
                </c:pt>
              </c:numCache>
            </c:numRef>
          </c:val>
        </c:ser>
        <c:ser>
          <c:idx val="1"/>
          <c:order val="1"/>
          <c:tx>
            <c:strRef>
              <c:f>Dashboard!D15</c:f>
              <c:strCache>
                <c:ptCount val="1"/>
                <c:pt idx="0">
                  <c:v>v4.8</c:v>
                </c:pt>
              </c:strCache>
            </c:strRef>
          </c:tx>
          <c:spPr>
            <a:solidFill>
              <a:srgbClr val="C0504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Dashboard!$B$16:$B$17</c:f>
              <c:strCache>
                <c:ptCount val="2"/>
                <c:pt idx="0">
                  <c:v>Rule for Lemon</c:v>
                </c:pt>
                <c:pt idx="1">
                  <c:v>Rule for the User</c:v>
                </c:pt>
              </c:strCache>
            </c:strRef>
          </c:cat>
          <c:val>
            <c:numRef>
              <c:f>Dashboard!$D$16:$D$17</c:f>
              <c:numCache>
                <c:formatCode>General</c:formatCode>
                <c:ptCount val="2"/>
                <c:pt idx="0">
                  <c:v>94</c:v>
                </c:pt>
                <c:pt idx="1">
                  <c:v>5</c:v>
                </c:pt>
              </c:numCache>
            </c:numRef>
          </c:val>
        </c:ser>
        <c:gapWidth val="60"/>
        <c:overlap val="0"/>
        <c:axId val="29329900"/>
        <c:axId val="38525832"/>
      </c:barChart>
      <c:catAx>
        <c:axId val="2932990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8525832"/>
        <c:crosses val="autoZero"/>
        <c:auto val="1"/>
        <c:lblAlgn val="ctr"/>
        <c:lblOffset val="100"/>
        <c:noMultiLvlLbl val="0"/>
      </c:catAx>
      <c:valAx>
        <c:axId val="3852583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Cases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9329900"/>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32</xdr:row>
      <xdr:rowOff>0</xdr:rowOff>
    </xdr:from>
    <xdr:to>
      <xdr:col>4</xdr:col>
      <xdr:colOff>411480</xdr:colOff>
      <xdr:row>45</xdr:row>
      <xdr:rowOff>115200</xdr:rowOff>
    </xdr:to>
    <xdr:graphicFrame>
      <xdr:nvGraphicFramePr>
        <xdr:cNvPr id="1" name="Chart 1"/>
        <xdr:cNvGraphicFramePr/>
      </xdr:nvGraphicFramePr>
      <xdr:xfrm>
        <a:off x="211320" y="6425640"/>
        <a:ext cx="4499640" cy="259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04"/>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91.5" hidden="false" customHeight="true" outlineLevel="0" collapsed="false">
      <c r="B6" s="4" t="s">
        <v>3</v>
      </c>
    </row>
    <row r="8" customFormat="false" ht="15" hidden="false" customHeight="false" outlineLevel="0" collapsed="false">
      <c r="B8" s="3" t="s">
        <v>4</v>
      </c>
    </row>
    <row r="9" customFormat="false" ht="30" hidden="false" customHeight="true" outlineLevel="0" collapsed="false">
      <c r="B9" s="4" t="s">
        <v>5</v>
      </c>
    </row>
    <row r="10" customFormat="false" ht="30" hidden="false" customHeight="true" outlineLevel="0" collapsed="false">
      <c r="B10" s="4" t="s">
        <v>6</v>
      </c>
    </row>
    <row r="11" customFormat="false" ht="30" hidden="false" customHeight="true" outlineLevel="0" collapsed="false">
      <c r="B11" s="4" t="s">
        <v>7</v>
      </c>
    </row>
    <row r="12" customFormat="false" ht="30" hidden="false" customHeight="true" outlineLevel="0" collapsed="false">
      <c r="B12" s="4" t="s">
        <v>8</v>
      </c>
    </row>
    <row r="14" customFormat="false" ht="15" hidden="false" customHeight="false" outlineLevel="0" collapsed="false">
      <c r="B14" s="3" t="s">
        <v>9</v>
      </c>
    </row>
    <row r="15" customFormat="false" ht="120" hidden="false" customHeight="true" outlineLevel="0" collapsed="false">
      <c r="B15" s="4" t="s">
        <v>10</v>
      </c>
    </row>
    <row r="17" customFormat="false" ht="15" hidden="false" customHeight="false" outlineLevel="0" collapsed="false">
      <c r="B17" s="3" t="s">
        <v>11</v>
      </c>
    </row>
    <row r="18" customFormat="false" ht="120" hidden="false" customHeight="true" outlineLevel="0" collapsed="false">
      <c r="B18" s="4" t="s">
        <v>12</v>
      </c>
    </row>
    <row r="20" customFormat="false" ht="15" hidden="false" customHeight="false" outlineLevel="0" collapsed="false">
      <c r="B20" s="5"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6" min="3" style="0" width="14"/>
    <col collapsed="false" customWidth="true" hidden="false" outlineLevel="0" max="7" min="7" style="0" width="18"/>
  </cols>
  <sheetData>
    <row r="2" customFormat="false" ht="22.05" hidden="false" customHeight="false" outlineLevel="0" collapsed="false">
      <c r="B2" s="6" t="s">
        <v>14</v>
      </c>
      <c r="C2" s="6"/>
      <c r="D2" s="6"/>
      <c r="E2" s="6"/>
      <c r="F2" s="6"/>
    </row>
    <row r="3" customFormat="false" ht="15" hidden="false" customHeight="false" outlineLevel="0" collapsed="false">
      <c r="B3" s="7" t="s">
        <v>15</v>
      </c>
      <c r="C3" s="7"/>
      <c r="D3" s="7"/>
      <c r="E3" s="7"/>
      <c r="F3" s="7"/>
    </row>
    <row r="5" customFormat="false" ht="15" hidden="false" customHeight="false" outlineLevel="0" collapsed="false">
      <c r="B5" s="8" t="s">
        <v>16</v>
      </c>
      <c r="C5" s="8"/>
      <c r="D5" s="8" t="s">
        <v>17</v>
      </c>
      <c r="E5" s="8"/>
      <c r="F5" s="9" t="s">
        <v>18</v>
      </c>
      <c r="G5" s="9"/>
    </row>
    <row r="6" customFormat="false" ht="24.45" hidden="false" customHeight="false" outlineLevel="0" collapsed="false">
      <c r="B6" s="10" t="n">
        <f aca="false">COUNT('Case Matrix'!A:A)</f>
        <v>99</v>
      </c>
      <c r="C6" s="10"/>
      <c r="D6" s="11" t="n">
        <f aca="false">COUNTIF('Case Matrix'!I:I,"Agree")/COUNT('Case Matrix'!A:A)</f>
        <v>0.888888888888889</v>
      </c>
      <c r="E6" s="11"/>
      <c r="F6" s="10" t="n">
        <f aca="false">COUNTIF('Case Matrix'!I:I,"FLIP")</f>
        <v>11</v>
      </c>
      <c r="G6" s="10"/>
    </row>
    <row r="7" customFormat="false" ht="15" hidden="false" customHeight="false" outlineLevel="0" collapsed="false">
      <c r="B7" s="12" t="s">
        <v>19</v>
      </c>
      <c r="C7" s="12"/>
      <c r="D7" s="12" t="s">
        <v>20</v>
      </c>
      <c r="E7" s="12"/>
      <c r="F7" s="12" t="s">
        <v>21</v>
      </c>
      <c r="G7" s="12"/>
    </row>
    <row r="9" customFormat="false" ht="15" hidden="false" customHeight="false" outlineLevel="0" collapsed="false">
      <c r="B9" s="9" t="s">
        <v>22</v>
      </c>
      <c r="C9" s="9"/>
      <c r="D9" s="9" t="s">
        <v>23</v>
      </c>
      <c r="E9" s="9"/>
      <c r="F9" s="13" t="s">
        <v>24</v>
      </c>
      <c r="G9" s="13"/>
    </row>
    <row r="10" customFormat="false" ht="24.45" hidden="false" customHeight="false" outlineLevel="0" collapsed="false">
      <c r="B10" s="10" t="n">
        <f aca="false">COUNTIF('Case Matrix'!J:J,"User→Lemon")</f>
        <v>10</v>
      </c>
      <c r="C10" s="10"/>
      <c r="D10" s="10" t="n">
        <f aca="false">COUNTIF('Case Matrix'!J:J,"Lemon→User")</f>
        <v>1</v>
      </c>
      <c r="E10" s="10"/>
      <c r="F10" s="10" t="n">
        <f aca="false">COUNTIFS('Case Matrix'!F:F,"High",'Case Matrix'!I:I,"FLIP")</f>
        <v>2</v>
      </c>
      <c r="G10" s="10"/>
    </row>
    <row r="11" customFormat="false" ht="15" hidden="false" customHeight="false" outlineLevel="0" collapsed="false">
      <c r="B11" s="12" t="s">
        <v>25</v>
      </c>
      <c r="C11" s="12"/>
      <c r="D11" s="12" t="s">
        <v>26</v>
      </c>
      <c r="E11" s="12"/>
      <c r="F11" s="12" t="s">
        <v>27</v>
      </c>
      <c r="G11" s="12"/>
    </row>
    <row r="14" customFormat="false" ht="15" hidden="false" customHeight="false" outlineLevel="0" collapsed="false">
      <c r="B14" s="3" t="s">
        <v>28</v>
      </c>
    </row>
    <row r="15" customFormat="false" ht="15" hidden="false" customHeight="false" outlineLevel="0" collapsed="false">
      <c r="B15" s="14" t="s">
        <v>29</v>
      </c>
      <c r="C15" s="14" t="s">
        <v>30</v>
      </c>
      <c r="D15" s="14" t="s">
        <v>31</v>
      </c>
      <c r="E15" s="14" t="s">
        <v>32</v>
      </c>
    </row>
    <row r="16" customFormat="false" ht="15" hidden="false" customHeight="false" outlineLevel="0" collapsed="false">
      <c r="B16" s="15" t="s">
        <v>33</v>
      </c>
      <c r="C16" s="16" t="n">
        <f aca="false">COUNTIF('Case Matrix'!E:E,"Lemon")</f>
        <v>85</v>
      </c>
      <c r="D16" s="16" t="n">
        <f aca="false">COUNTIF('Case Matrix'!G:G,"Lemon")</f>
        <v>94</v>
      </c>
      <c r="E16" s="17" t="n">
        <f aca="false">D16-C16</f>
        <v>9</v>
      </c>
    </row>
    <row r="17" customFormat="false" ht="15" hidden="false" customHeight="false" outlineLevel="0" collapsed="false">
      <c r="B17" s="18" t="s">
        <v>34</v>
      </c>
      <c r="C17" s="19" t="n">
        <f aca="false">COUNTIF('Case Matrix'!E:E,"User")</f>
        <v>14</v>
      </c>
      <c r="D17" s="19" t="n">
        <f aca="false">COUNTIF('Case Matrix'!G:G,"User")</f>
        <v>5</v>
      </c>
      <c r="E17" s="20" t="n">
        <f aca="false">D17-C17</f>
        <v>-9</v>
      </c>
    </row>
    <row r="18" customFormat="false" ht="15" hidden="false" customHeight="false" outlineLevel="0" collapsed="false">
      <c r="B18" s="21" t="s">
        <v>35</v>
      </c>
      <c r="C18" s="22" t="n">
        <f aca="false">SUM(C16:C17)</f>
        <v>99</v>
      </c>
      <c r="D18" s="22" t="n">
        <f aca="false">SUM(D16:D17)</f>
        <v>99</v>
      </c>
      <c r="E18" s="23"/>
    </row>
    <row r="21" customFormat="false" ht="15" hidden="false" customHeight="false" outlineLevel="0" collapsed="false">
      <c r="B21" s="3" t="s">
        <v>36</v>
      </c>
    </row>
    <row r="22" customFormat="false" ht="15" hidden="false" customHeight="false" outlineLevel="0" collapsed="false">
      <c r="B22" s="14" t="s">
        <v>37</v>
      </c>
      <c r="C22" s="14" t="s">
        <v>30</v>
      </c>
      <c r="D22" s="14" t="s">
        <v>31</v>
      </c>
    </row>
    <row r="23" customFormat="false" ht="15" hidden="false" customHeight="false" outlineLevel="0" collapsed="false">
      <c r="B23" s="24" t="s">
        <v>38</v>
      </c>
      <c r="C23" s="25" t="n">
        <f aca="false">COUNTIF('Case Matrix'!F:F,"High")</f>
        <v>72</v>
      </c>
      <c r="D23" s="25" t="n">
        <f aca="false">COUNTIF('Case Matrix'!H:H,"High")</f>
        <v>68</v>
      </c>
    </row>
    <row r="24" customFormat="false" ht="15" hidden="false" customHeight="false" outlineLevel="0" collapsed="false">
      <c r="B24" s="24" t="s">
        <v>39</v>
      </c>
      <c r="C24" s="25" t="n">
        <f aca="false">COUNTIF('Case Matrix'!F:F,"Medium")</f>
        <v>25</v>
      </c>
      <c r="D24" s="25" t="n">
        <f aca="false">COUNTIF('Case Matrix'!H:H,"Medium")</f>
        <v>31</v>
      </c>
    </row>
    <row r="25" customFormat="false" ht="15" hidden="false" customHeight="false" outlineLevel="0" collapsed="false">
      <c r="B25" s="24" t="s">
        <v>40</v>
      </c>
      <c r="C25" s="25" t="n">
        <f aca="false">COUNTIF('Case Matrix'!F:F,"Medium-High")</f>
        <v>2</v>
      </c>
      <c r="D25" s="25" t="n">
        <f aca="false">COUNTIF('Case Matrix'!H:H,"Medium-High")</f>
        <v>0</v>
      </c>
    </row>
  </sheetData>
  <mergeCells count="20">
    <mergeCell ref="B2:F2"/>
    <mergeCell ref="B3:F3"/>
    <mergeCell ref="B5:C5"/>
    <mergeCell ref="D5:E5"/>
    <mergeCell ref="F5:G5"/>
    <mergeCell ref="B6:C6"/>
    <mergeCell ref="D6:E6"/>
    <mergeCell ref="F6:G6"/>
    <mergeCell ref="B7:C7"/>
    <mergeCell ref="D7:E7"/>
    <mergeCell ref="F7:G7"/>
    <mergeCell ref="B9:C9"/>
    <mergeCell ref="D9:E9"/>
    <mergeCell ref="F9:G9"/>
    <mergeCell ref="B10:C10"/>
    <mergeCell ref="D10:E10"/>
    <mergeCell ref="F10:G10"/>
    <mergeCell ref="B11:C11"/>
    <mergeCell ref="D11:E11"/>
    <mergeCell ref="F11:G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3" min="2" style="0" width="30"/>
    <col collapsed="false" customWidth="true" hidden="false" outlineLevel="0" max="4" min="4" style="0" width="34"/>
    <col collapsed="false" customWidth="true" hidden="false" outlineLevel="0" max="5" min="5" style="0" width="12"/>
    <col collapsed="false" customWidth="true" hidden="false" outlineLevel="0" max="6" min="6" style="0" width="11"/>
    <col collapsed="false" customWidth="true" hidden="false" outlineLevel="0" max="7" min="7" style="0" width="12"/>
    <col collapsed="false" customWidth="true" hidden="false" outlineLevel="0" max="8" min="8" style="0" width="11"/>
    <col collapsed="false" customWidth="true" hidden="false" outlineLevel="0" max="9" min="9" style="0" width="9"/>
    <col collapsed="false" customWidth="true" hidden="false" outlineLevel="0" max="10" min="10" style="0" width="17"/>
  </cols>
  <sheetData>
    <row r="1" customFormat="false" ht="17.35" hidden="false" customHeight="false" outlineLevel="0" collapsed="false">
      <c r="A1" s="26" t="s">
        <v>41</v>
      </c>
    </row>
    <row r="2" customFormat="false" ht="15" hidden="false" customHeight="false" outlineLevel="0" collapsed="false">
      <c r="A2" s="5" t="s">
        <v>42</v>
      </c>
    </row>
    <row r="4" customFormat="false" ht="15" hidden="false" customHeight="false" outlineLevel="0" collapsed="false">
      <c r="A4" s="14" t="s">
        <v>43</v>
      </c>
      <c r="B4" s="14" t="s">
        <v>44</v>
      </c>
      <c r="C4" s="14" t="s">
        <v>45</v>
      </c>
      <c r="D4" s="14" t="s">
        <v>46</v>
      </c>
      <c r="E4" s="27" t="s">
        <v>47</v>
      </c>
      <c r="F4" s="27" t="s">
        <v>48</v>
      </c>
      <c r="G4" s="27" t="s">
        <v>49</v>
      </c>
      <c r="H4" s="27" t="s">
        <v>50</v>
      </c>
      <c r="I4" s="28" t="s">
        <v>51</v>
      </c>
      <c r="J4" s="28" t="s">
        <v>52</v>
      </c>
    </row>
    <row r="5" customFormat="false" ht="30" hidden="false" customHeight="true" outlineLevel="0" collapsed="false">
      <c r="A5" s="29" t="n">
        <v>4</v>
      </c>
      <c r="B5" s="30" t="s">
        <v>53</v>
      </c>
      <c r="C5" s="30" t="s">
        <v>54</v>
      </c>
      <c r="D5" s="30" t="s">
        <v>55</v>
      </c>
      <c r="E5" s="31" t="s">
        <v>56</v>
      </c>
      <c r="F5" s="29" t="s">
        <v>39</v>
      </c>
      <c r="G5" s="32" t="s">
        <v>57</v>
      </c>
      <c r="H5" s="29" t="s">
        <v>39</v>
      </c>
      <c r="I5" s="29" t="str">
        <f aca="false">IF($E5=$G5,"Agree","FLIP")</f>
        <v>FLIP</v>
      </c>
      <c r="J5" s="29" t="str">
        <f aca="false">IF($E5=$G5,"—",$E5&amp;"→"&amp;$G5)</f>
        <v>Lemon→User</v>
      </c>
    </row>
    <row r="6" customFormat="false" ht="30" hidden="false" customHeight="true" outlineLevel="0" collapsed="false">
      <c r="A6" s="29" t="n">
        <v>5</v>
      </c>
      <c r="B6" s="30" t="s">
        <v>58</v>
      </c>
      <c r="C6" s="30" t="s">
        <v>59</v>
      </c>
      <c r="D6" s="30" t="s">
        <v>60</v>
      </c>
      <c r="E6" s="31" t="s">
        <v>56</v>
      </c>
      <c r="F6" s="29" t="s">
        <v>39</v>
      </c>
      <c r="G6" s="31" t="s">
        <v>56</v>
      </c>
      <c r="H6" s="29" t="s">
        <v>39</v>
      </c>
      <c r="I6" s="29" t="str">
        <f aca="false">IF($E6=$G6,"Agree","FLIP")</f>
        <v>Agree</v>
      </c>
      <c r="J6" s="29" t="str">
        <f aca="false">IF($E6=$G6,"—",$E6&amp;"→"&amp;$G6)</f>
        <v>—</v>
      </c>
    </row>
    <row r="7" customFormat="false" ht="30" hidden="false" customHeight="true" outlineLevel="0" collapsed="false">
      <c r="A7" s="29" t="n">
        <v>6</v>
      </c>
      <c r="B7" s="30" t="s">
        <v>61</v>
      </c>
      <c r="C7" s="30" t="s">
        <v>62</v>
      </c>
      <c r="D7" s="30" t="s">
        <v>63</v>
      </c>
      <c r="E7" s="31" t="s">
        <v>56</v>
      </c>
      <c r="F7" s="29" t="s">
        <v>38</v>
      </c>
      <c r="G7" s="31" t="s">
        <v>56</v>
      </c>
      <c r="H7" s="29" t="s">
        <v>38</v>
      </c>
      <c r="I7" s="29" t="str">
        <f aca="false">IF($E7=$G7,"Agree","FLIP")</f>
        <v>Agree</v>
      </c>
      <c r="J7" s="29" t="str">
        <f aca="false">IF($E7=$G7,"—",$E7&amp;"→"&amp;$G7)</f>
        <v>—</v>
      </c>
    </row>
    <row r="8" customFormat="false" ht="30" hidden="false" customHeight="true" outlineLevel="0" collapsed="false">
      <c r="A8" s="29" t="n">
        <v>7</v>
      </c>
      <c r="B8" s="30" t="s">
        <v>64</v>
      </c>
      <c r="C8" s="30" t="s">
        <v>65</v>
      </c>
      <c r="D8" s="30" t="s">
        <v>66</v>
      </c>
      <c r="E8" s="32" t="s">
        <v>57</v>
      </c>
      <c r="F8" s="29" t="s">
        <v>39</v>
      </c>
      <c r="G8" s="31" t="s">
        <v>56</v>
      </c>
      <c r="H8" s="29" t="s">
        <v>39</v>
      </c>
      <c r="I8" s="29" t="str">
        <f aca="false">IF($E8=$G8,"Agree","FLIP")</f>
        <v>FLIP</v>
      </c>
      <c r="J8" s="29" t="str">
        <f aca="false">IF($E8=$G8,"—",$E8&amp;"→"&amp;$G8)</f>
        <v>User→Lemon</v>
      </c>
    </row>
    <row r="9" customFormat="false" ht="30" hidden="false" customHeight="true" outlineLevel="0" collapsed="false">
      <c r="A9" s="29" t="n">
        <v>8</v>
      </c>
      <c r="B9" s="30" t="s">
        <v>64</v>
      </c>
      <c r="C9" s="30" t="s">
        <v>67</v>
      </c>
      <c r="D9" s="30" t="s">
        <v>68</v>
      </c>
      <c r="E9" s="31" t="s">
        <v>56</v>
      </c>
      <c r="F9" s="29" t="s">
        <v>39</v>
      </c>
      <c r="G9" s="31" t="s">
        <v>56</v>
      </c>
      <c r="H9" s="29" t="s">
        <v>39</v>
      </c>
      <c r="I9" s="29" t="str">
        <f aca="false">IF($E9=$G9,"Agree","FLIP")</f>
        <v>Agree</v>
      </c>
      <c r="J9" s="29" t="str">
        <f aca="false">IF($E9=$G9,"—",$E9&amp;"→"&amp;$G9)</f>
        <v>—</v>
      </c>
    </row>
    <row r="10" customFormat="false" ht="30" hidden="false" customHeight="true" outlineLevel="0" collapsed="false">
      <c r="A10" s="29" t="n">
        <v>9</v>
      </c>
      <c r="B10" s="30" t="s">
        <v>69</v>
      </c>
      <c r="C10" s="30" t="s">
        <v>70</v>
      </c>
      <c r="D10" s="30" t="s">
        <v>71</v>
      </c>
      <c r="E10" s="31" t="s">
        <v>56</v>
      </c>
      <c r="F10" s="29" t="s">
        <v>39</v>
      </c>
      <c r="G10" s="31" t="s">
        <v>56</v>
      </c>
      <c r="H10" s="29" t="s">
        <v>39</v>
      </c>
      <c r="I10" s="29" t="str">
        <f aca="false">IF($E10=$G10,"Agree","FLIP")</f>
        <v>Agree</v>
      </c>
      <c r="J10" s="29" t="str">
        <f aca="false">IF($E10=$G10,"—",$E10&amp;"→"&amp;$G10)</f>
        <v>—</v>
      </c>
    </row>
    <row r="11" customFormat="false" ht="30" hidden="false" customHeight="true" outlineLevel="0" collapsed="false">
      <c r="A11" s="29" t="n">
        <v>10</v>
      </c>
      <c r="B11" s="30" t="s">
        <v>69</v>
      </c>
      <c r="C11" s="30" t="s">
        <v>72</v>
      </c>
      <c r="D11" s="30" t="s">
        <v>73</v>
      </c>
      <c r="E11" s="32" t="s">
        <v>57</v>
      </c>
      <c r="F11" s="29" t="s">
        <v>38</v>
      </c>
      <c r="G11" s="32" t="s">
        <v>57</v>
      </c>
      <c r="H11" s="29" t="s">
        <v>38</v>
      </c>
      <c r="I11" s="29" t="str">
        <f aca="false">IF($E11=$G11,"Agree","FLIP")</f>
        <v>Agree</v>
      </c>
      <c r="J11" s="29" t="str">
        <f aca="false">IF($E11=$G11,"—",$E11&amp;"→"&amp;$G11)</f>
        <v>—</v>
      </c>
    </row>
    <row r="12" customFormat="false" ht="30" hidden="false" customHeight="true" outlineLevel="0" collapsed="false">
      <c r="A12" s="29" t="n">
        <v>11</v>
      </c>
      <c r="B12" s="30" t="s">
        <v>58</v>
      </c>
      <c r="C12" s="30" t="s">
        <v>74</v>
      </c>
      <c r="D12" s="30" t="s">
        <v>75</v>
      </c>
      <c r="E12" s="32" t="s">
        <v>57</v>
      </c>
      <c r="F12" s="29" t="s">
        <v>39</v>
      </c>
      <c r="G12" s="31" t="s">
        <v>56</v>
      </c>
      <c r="H12" s="29" t="s">
        <v>39</v>
      </c>
      <c r="I12" s="29" t="str">
        <f aca="false">IF($E12=$G12,"Agree","FLIP")</f>
        <v>FLIP</v>
      </c>
      <c r="J12" s="29" t="str">
        <f aca="false">IF($E12=$G12,"—",$E12&amp;"→"&amp;$G12)</f>
        <v>User→Lemon</v>
      </c>
    </row>
    <row r="13" customFormat="false" ht="30" hidden="false" customHeight="true" outlineLevel="0" collapsed="false">
      <c r="A13" s="29" t="n">
        <v>12</v>
      </c>
      <c r="B13" s="30" t="s">
        <v>53</v>
      </c>
      <c r="C13" s="30" t="s">
        <v>76</v>
      </c>
      <c r="D13" s="30" t="s">
        <v>77</v>
      </c>
      <c r="E13" s="31" t="s">
        <v>56</v>
      </c>
      <c r="F13" s="29" t="s">
        <v>38</v>
      </c>
      <c r="G13" s="31" t="s">
        <v>56</v>
      </c>
      <c r="H13" s="29" t="s">
        <v>39</v>
      </c>
      <c r="I13" s="29" t="str">
        <f aca="false">IF($E13=$G13,"Agree","FLIP")</f>
        <v>Agree</v>
      </c>
      <c r="J13" s="29" t="str">
        <f aca="false">IF($E13=$G13,"—",$E13&amp;"→"&amp;$G13)</f>
        <v>—</v>
      </c>
    </row>
    <row r="14" customFormat="false" ht="30" hidden="false" customHeight="true" outlineLevel="0" collapsed="false">
      <c r="A14" s="29" t="n">
        <v>13</v>
      </c>
      <c r="B14" s="30" t="s">
        <v>69</v>
      </c>
      <c r="C14" s="30" t="s">
        <v>78</v>
      </c>
      <c r="D14" s="30" t="s">
        <v>79</v>
      </c>
      <c r="E14" s="31" t="s">
        <v>56</v>
      </c>
      <c r="F14" s="29" t="s">
        <v>38</v>
      </c>
      <c r="G14" s="31" t="s">
        <v>56</v>
      </c>
      <c r="H14" s="29" t="s">
        <v>39</v>
      </c>
      <c r="I14" s="29" t="str">
        <f aca="false">IF($E14=$G14,"Agree","FLIP")</f>
        <v>Agree</v>
      </c>
      <c r="J14" s="29" t="str">
        <f aca="false">IF($E14=$G14,"—",$E14&amp;"→"&amp;$G14)</f>
        <v>—</v>
      </c>
    </row>
    <row r="15" customFormat="false" ht="30" hidden="false" customHeight="true" outlineLevel="0" collapsed="false">
      <c r="A15" s="29" t="n">
        <v>15</v>
      </c>
      <c r="B15" s="30" t="s">
        <v>53</v>
      </c>
      <c r="C15" s="30" t="s">
        <v>80</v>
      </c>
      <c r="D15" s="30" t="s">
        <v>81</v>
      </c>
      <c r="E15" s="31" t="s">
        <v>56</v>
      </c>
      <c r="F15" s="29" t="s">
        <v>38</v>
      </c>
      <c r="G15" s="31" t="s">
        <v>56</v>
      </c>
      <c r="H15" s="29" t="s">
        <v>38</v>
      </c>
      <c r="I15" s="29" t="str">
        <f aca="false">IF($E15=$G15,"Agree","FLIP")</f>
        <v>Agree</v>
      </c>
      <c r="J15" s="29" t="str">
        <f aca="false">IF($E15=$G15,"—",$E15&amp;"→"&amp;$G15)</f>
        <v>—</v>
      </c>
    </row>
    <row r="16" customFormat="false" ht="30" hidden="false" customHeight="true" outlineLevel="0" collapsed="false">
      <c r="A16" s="29" t="n">
        <v>17</v>
      </c>
      <c r="B16" s="30" t="s">
        <v>61</v>
      </c>
      <c r="C16" s="30" t="s">
        <v>82</v>
      </c>
      <c r="D16" s="30" t="s">
        <v>83</v>
      </c>
      <c r="E16" s="31" t="s">
        <v>56</v>
      </c>
      <c r="F16" s="29" t="s">
        <v>38</v>
      </c>
      <c r="G16" s="31" t="s">
        <v>56</v>
      </c>
      <c r="H16" s="29" t="s">
        <v>38</v>
      </c>
      <c r="I16" s="29" t="str">
        <f aca="false">IF($E16=$G16,"Agree","FLIP")</f>
        <v>Agree</v>
      </c>
      <c r="J16" s="29" t="str">
        <f aca="false">IF($E16=$G16,"—",$E16&amp;"→"&amp;$G16)</f>
        <v>—</v>
      </c>
    </row>
    <row r="17" customFormat="false" ht="30" hidden="false" customHeight="true" outlineLevel="0" collapsed="false">
      <c r="A17" s="29" t="n">
        <v>23</v>
      </c>
      <c r="B17" s="30" t="s">
        <v>58</v>
      </c>
      <c r="C17" s="30" t="s">
        <v>84</v>
      </c>
      <c r="D17" s="30" t="s">
        <v>85</v>
      </c>
      <c r="E17" s="31" t="s">
        <v>56</v>
      </c>
      <c r="F17" s="29" t="s">
        <v>39</v>
      </c>
      <c r="G17" s="31" t="s">
        <v>56</v>
      </c>
      <c r="H17" s="29" t="s">
        <v>38</v>
      </c>
      <c r="I17" s="29" t="str">
        <f aca="false">IF($E17=$G17,"Agree","FLIP")</f>
        <v>Agree</v>
      </c>
      <c r="J17" s="29" t="str">
        <f aca="false">IF($E17=$G17,"—",$E17&amp;"→"&amp;$G17)</f>
        <v>—</v>
      </c>
    </row>
    <row r="18" customFormat="false" ht="30" hidden="false" customHeight="true" outlineLevel="0" collapsed="false">
      <c r="A18" s="29" t="n">
        <v>24</v>
      </c>
      <c r="B18" s="30" t="s">
        <v>53</v>
      </c>
      <c r="C18" s="30" t="s">
        <v>86</v>
      </c>
      <c r="D18" s="30" t="s">
        <v>87</v>
      </c>
      <c r="E18" s="31" t="s">
        <v>56</v>
      </c>
      <c r="F18" s="29" t="s">
        <v>38</v>
      </c>
      <c r="G18" s="31" t="s">
        <v>56</v>
      </c>
      <c r="H18" s="29" t="s">
        <v>38</v>
      </c>
      <c r="I18" s="29" t="str">
        <f aca="false">IF($E18=$G18,"Agree","FLIP")</f>
        <v>Agree</v>
      </c>
      <c r="J18" s="29" t="str">
        <f aca="false">IF($E18=$G18,"—",$E18&amp;"→"&amp;$G18)</f>
        <v>—</v>
      </c>
    </row>
    <row r="19" customFormat="false" ht="30" hidden="false" customHeight="true" outlineLevel="0" collapsed="false">
      <c r="A19" s="29" t="n">
        <v>25</v>
      </c>
      <c r="B19" s="30" t="s">
        <v>53</v>
      </c>
      <c r="C19" s="30" t="s">
        <v>88</v>
      </c>
      <c r="D19" s="30" t="s">
        <v>89</v>
      </c>
      <c r="E19" s="32" t="s">
        <v>57</v>
      </c>
      <c r="F19" s="29" t="s">
        <v>38</v>
      </c>
      <c r="G19" s="31" t="s">
        <v>56</v>
      </c>
      <c r="H19" s="29" t="s">
        <v>39</v>
      </c>
      <c r="I19" s="29" t="str">
        <f aca="false">IF($E19=$G19,"Agree","FLIP")</f>
        <v>FLIP</v>
      </c>
      <c r="J19" s="29" t="str">
        <f aca="false">IF($E19=$G19,"—",$E19&amp;"→"&amp;$G19)</f>
        <v>User→Lemon</v>
      </c>
    </row>
    <row r="20" customFormat="false" ht="30" hidden="false" customHeight="true" outlineLevel="0" collapsed="false">
      <c r="A20" s="29" t="n">
        <v>26</v>
      </c>
      <c r="B20" s="30" t="s">
        <v>53</v>
      </c>
      <c r="C20" s="30" t="s">
        <v>90</v>
      </c>
      <c r="D20" s="30" t="s">
        <v>91</v>
      </c>
      <c r="E20" s="31" t="s">
        <v>56</v>
      </c>
      <c r="F20" s="29" t="s">
        <v>38</v>
      </c>
      <c r="G20" s="31" t="s">
        <v>56</v>
      </c>
      <c r="H20" s="29" t="s">
        <v>38</v>
      </c>
      <c r="I20" s="29" t="str">
        <f aca="false">IF($E20=$G20,"Agree","FLIP")</f>
        <v>Agree</v>
      </c>
      <c r="J20" s="29" t="str">
        <f aca="false">IF($E20=$G20,"—",$E20&amp;"→"&amp;$G20)</f>
        <v>—</v>
      </c>
    </row>
    <row r="21" customFormat="false" ht="30" hidden="false" customHeight="true" outlineLevel="0" collapsed="false">
      <c r="A21" s="29" t="n">
        <v>27</v>
      </c>
      <c r="B21" s="30" t="s">
        <v>53</v>
      </c>
      <c r="C21" s="30" t="s">
        <v>92</v>
      </c>
      <c r="D21" s="30" t="s">
        <v>93</v>
      </c>
      <c r="E21" s="32" t="s">
        <v>57</v>
      </c>
      <c r="F21" s="29" t="s">
        <v>39</v>
      </c>
      <c r="G21" s="31" t="s">
        <v>56</v>
      </c>
      <c r="H21" s="29" t="s">
        <v>39</v>
      </c>
      <c r="I21" s="29" t="str">
        <f aca="false">IF($E21=$G21,"Agree","FLIP")</f>
        <v>FLIP</v>
      </c>
      <c r="J21" s="29" t="str">
        <f aca="false">IF($E21=$G21,"—",$E21&amp;"→"&amp;$G21)</f>
        <v>User→Lemon</v>
      </c>
    </row>
    <row r="22" customFormat="false" ht="30" hidden="false" customHeight="true" outlineLevel="0" collapsed="false">
      <c r="A22" s="29" t="n">
        <v>28</v>
      </c>
      <c r="B22" s="30" t="s">
        <v>61</v>
      </c>
      <c r="C22" s="30" t="s">
        <v>94</v>
      </c>
      <c r="D22" s="30" t="s">
        <v>95</v>
      </c>
      <c r="E22" s="32" t="s">
        <v>57</v>
      </c>
      <c r="F22" s="29" t="s">
        <v>38</v>
      </c>
      <c r="G22" s="32" t="s">
        <v>57</v>
      </c>
      <c r="H22" s="29" t="s">
        <v>39</v>
      </c>
      <c r="I22" s="29" t="str">
        <f aca="false">IF($E22=$G22,"Agree","FLIP")</f>
        <v>Agree</v>
      </c>
      <c r="J22" s="29" t="str">
        <f aca="false">IF($E22=$G22,"—",$E22&amp;"→"&amp;$G22)</f>
        <v>—</v>
      </c>
    </row>
    <row r="23" customFormat="false" ht="30" hidden="false" customHeight="true" outlineLevel="0" collapsed="false">
      <c r="A23" s="29" t="n">
        <v>29</v>
      </c>
      <c r="B23" s="30" t="s">
        <v>64</v>
      </c>
      <c r="C23" s="30" t="s">
        <v>96</v>
      </c>
      <c r="D23" s="30" t="s">
        <v>97</v>
      </c>
      <c r="E23" s="31" t="s">
        <v>56</v>
      </c>
      <c r="F23" s="29" t="s">
        <v>38</v>
      </c>
      <c r="G23" s="31" t="s">
        <v>56</v>
      </c>
      <c r="H23" s="29" t="s">
        <v>38</v>
      </c>
      <c r="I23" s="29" t="str">
        <f aca="false">IF($E23=$G23,"Agree","FLIP")</f>
        <v>Agree</v>
      </c>
      <c r="J23" s="29" t="str">
        <f aca="false">IF($E23=$G23,"—",$E23&amp;"→"&amp;$G23)</f>
        <v>—</v>
      </c>
    </row>
    <row r="24" customFormat="false" ht="30" hidden="false" customHeight="true" outlineLevel="0" collapsed="false">
      <c r="A24" s="29" t="n">
        <v>30</v>
      </c>
      <c r="B24" s="30" t="s">
        <v>58</v>
      </c>
      <c r="C24" s="30" t="s">
        <v>98</v>
      </c>
      <c r="D24" s="30" t="s">
        <v>99</v>
      </c>
      <c r="E24" s="31" t="s">
        <v>56</v>
      </c>
      <c r="F24" s="29" t="s">
        <v>39</v>
      </c>
      <c r="G24" s="31" t="s">
        <v>56</v>
      </c>
      <c r="H24" s="29" t="s">
        <v>39</v>
      </c>
      <c r="I24" s="29" t="str">
        <f aca="false">IF($E24=$G24,"Agree","FLIP")</f>
        <v>Agree</v>
      </c>
      <c r="J24" s="29" t="str">
        <f aca="false">IF($E24=$G24,"—",$E24&amp;"→"&amp;$G24)</f>
        <v>—</v>
      </c>
    </row>
    <row r="25" customFormat="false" ht="30" hidden="false" customHeight="true" outlineLevel="0" collapsed="false">
      <c r="A25" s="29" t="n">
        <v>31</v>
      </c>
      <c r="B25" s="30" t="s">
        <v>100</v>
      </c>
      <c r="C25" s="30" t="s">
        <v>101</v>
      </c>
      <c r="D25" s="30" t="s">
        <v>102</v>
      </c>
      <c r="E25" s="31" t="s">
        <v>56</v>
      </c>
      <c r="F25" s="29" t="s">
        <v>39</v>
      </c>
      <c r="G25" s="31" t="s">
        <v>56</v>
      </c>
      <c r="H25" s="29" t="s">
        <v>39</v>
      </c>
      <c r="I25" s="29" t="str">
        <f aca="false">IF($E25=$G25,"Agree","FLIP")</f>
        <v>Agree</v>
      </c>
      <c r="J25" s="29" t="str">
        <f aca="false">IF($E25=$G25,"—",$E25&amp;"→"&amp;$G25)</f>
        <v>—</v>
      </c>
    </row>
    <row r="26" customFormat="false" ht="30" hidden="false" customHeight="true" outlineLevel="0" collapsed="false">
      <c r="A26" s="29" t="n">
        <v>32</v>
      </c>
      <c r="B26" s="30" t="s">
        <v>100</v>
      </c>
      <c r="C26" s="30" t="s">
        <v>103</v>
      </c>
      <c r="D26" s="30" t="s">
        <v>104</v>
      </c>
      <c r="E26" s="31" t="s">
        <v>56</v>
      </c>
      <c r="F26" s="29" t="s">
        <v>38</v>
      </c>
      <c r="G26" s="31" t="s">
        <v>56</v>
      </c>
      <c r="H26" s="29" t="s">
        <v>38</v>
      </c>
      <c r="I26" s="29" t="str">
        <f aca="false">IF($E26=$G26,"Agree","FLIP")</f>
        <v>Agree</v>
      </c>
      <c r="J26" s="29" t="str">
        <f aca="false">IF($E26=$G26,"—",$E26&amp;"→"&amp;$G26)</f>
        <v>—</v>
      </c>
    </row>
    <row r="27" customFormat="false" ht="30" hidden="false" customHeight="true" outlineLevel="0" collapsed="false">
      <c r="A27" s="29" t="n">
        <v>33</v>
      </c>
      <c r="B27" s="30" t="s">
        <v>64</v>
      </c>
      <c r="C27" s="30" t="s">
        <v>105</v>
      </c>
      <c r="D27" s="30" t="s">
        <v>106</v>
      </c>
      <c r="E27" s="31" t="s">
        <v>56</v>
      </c>
      <c r="F27" s="29" t="s">
        <v>38</v>
      </c>
      <c r="G27" s="31" t="s">
        <v>56</v>
      </c>
      <c r="H27" s="29" t="s">
        <v>38</v>
      </c>
      <c r="I27" s="29" t="str">
        <f aca="false">IF($E27=$G27,"Agree","FLIP")</f>
        <v>Agree</v>
      </c>
      <c r="J27" s="29" t="str">
        <f aca="false">IF($E27=$G27,"—",$E27&amp;"→"&amp;$G27)</f>
        <v>—</v>
      </c>
    </row>
    <row r="28" customFormat="false" ht="30" hidden="false" customHeight="true" outlineLevel="0" collapsed="false">
      <c r="A28" s="29" t="n">
        <v>34</v>
      </c>
      <c r="B28" s="30" t="s">
        <v>100</v>
      </c>
      <c r="C28" s="30" t="s">
        <v>107</v>
      </c>
      <c r="D28" s="30" t="s">
        <v>108</v>
      </c>
      <c r="E28" s="31" t="s">
        <v>56</v>
      </c>
      <c r="F28" s="29" t="s">
        <v>39</v>
      </c>
      <c r="G28" s="31" t="s">
        <v>56</v>
      </c>
      <c r="H28" s="29" t="s">
        <v>39</v>
      </c>
      <c r="I28" s="29" t="str">
        <f aca="false">IF($E28=$G28,"Agree","FLIP")</f>
        <v>Agree</v>
      </c>
      <c r="J28" s="29" t="str">
        <f aca="false">IF($E28=$G28,"—",$E28&amp;"→"&amp;$G28)</f>
        <v>—</v>
      </c>
    </row>
    <row r="29" customFormat="false" ht="30" hidden="false" customHeight="true" outlineLevel="0" collapsed="false">
      <c r="A29" s="29" t="n">
        <v>35</v>
      </c>
      <c r="B29" s="30" t="s">
        <v>53</v>
      </c>
      <c r="C29" s="30" t="s">
        <v>109</v>
      </c>
      <c r="D29" s="30" t="s">
        <v>110</v>
      </c>
      <c r="E29" s="31" t="s">
        <v>56</v>
      </c>
      <c r="F29" s="29" t="s">
        <v>38</v>
      </c>
      <c r="G29" s="31" t="s">
        <v>56</v>
      </c>
      <c r="H29" s="29" t="s">
        <v>38</v>
      </c>
      <c r="I29" s="29" t="str">
        <f aca="false">IF($E29=$G29,"Agree","FLIP")</f>
        <v>Agree</v>
      </c>
      <c r="J29" s="29" t="str">
        <f aca="false">IF($E29=$G29,"—",$E29&amp;"→"&amp;$G29)</f>
        <v>—</v>
      </c>
    </row>
    <row r="30" customFormat="false" ht="30" hidden="false" customHeight="true" outlineLevel="0" collapsed="false">
      <c r="A30" s="29" t="n">
        <v>36</v>
      </c>
      <c r="B30" s="30" t="s">
        <v>58</v>
      </c>
      <c r="C30" s="30" t="s">
        <v>111</v>
      </c>
      <c r="D30" s="30" t="s">
        <v>112</v>
      </c>
      <c r="E30" s="31" t="s">
        <v>56</v>
      </c>
      <c r="F30" s="29" t="s">
        <v>39</v>
      </c>
      <c r="G30" s="31" t="s">
        <v>56</v>
      </c>
      <c r="H30" s="29" t="s">
        <v>38</v>
      </c>
      <c r="I30" s="29" t="str">
        <f aca="false">IF($E30=$G30,"Agree","FLIP")</f>
        <v>Agree</v>
      </c>
      <c r="J30" s="29" t="str">
        <f aca="false">IF($E30=$G30,"—",$E30&amp;"→"&amp;$G30)</f>
        <v>—</v>
      </c>
    </row>
    <row r="31" customFormat="false" ht="30" hidden="false" customHeight="true" outlineLevel="0" collapsed="false">
      <c r="A31" s="29" t="n">
        <v>37</v>
      </c>
      <c r="B31" s="30" t="s">
        <v>100</v>
      </c>
      <c r="C31" s="30" t="s">
        <v>113</v>
      </c>
      <c r="D31" s="30" t="s">
        <v>114</v>
      </c>
      <c r="E31" s="31" t="s">
        <v>56</v>
      </c>
      <c r="F31" s="29" t="s">
        <v>38</v>
      </c>
      <c r="G31" s="31" t="s">
        <v>56</v>
      </c>
      <c r="H31" s="29" t="s">
        <v>39</v>
      </c>
      <c r="I31" s="29" t="str">
        <f aca="false">IF($E31=$G31,"Agree","FLIP")</f>
        <v>Agree</v>
      </c>
      <c r="J31" s="29" t="str">
        <f aca="false">IF($E31=$G31,"—",$E31&amp;"→"&amp;$G31)</f>
        <v>—</v>
      </c>
    </row>
    <row r="32" customFormat="false" ht="30" hidden="false" customHeight="true" outlineLevel="0" collapsed="false">
      <c r="A32" s="29" t="n">
        <v>38</v>
      </c>
      <c r="B32" s="30" t="s">
        <v>100</v>
      </c>
      <c r="C32" s="30" t="s">
        <v>115</v>
      </c>
      <c r="D32" s="30" t="s">
        <v>116</v>
      </c>
      <c r="E32" s="31" t="s">
        <v>56</v>
      </c>
      <c r="F32" s="29" t="s">
        <v>39</v>
      </c>
      <c r="G32" s="31" t="s">
        <v>56</v>
      </c>
      <c r="H32" s="29" t="s">
        <v>38</v>
      </c>
      <c r="I32" s="29" t="str">
        <f aca="false">IF($E32=$G32,"Agree","FLIP")</f>
        <v>Agree</v>
      </c>
      <c r="J32" s="29" t="str">
        <f aca="false">IF($E32=$G32,"—",$E32&amp;"→"&amp;$G32)</f>
        <v>—</v>
      </c>
    </row>
    <row r="33" customFormat="false" ht="30" hidden="false" customHeight="true" outlineLevel="0" collapsed="false">
      <c r="A33" s="29" t="n">
        <v>39</v>
      </c>
      <c r="B33" s="30" t="s">
        <v>100</v>
      </c>
      <c r="C33" s="30" t="s">
        <v>117</v>
      </c>
      <c r="D33" s="30" t="s">
        <v>118</v>
      </c>
      <c r="E33" s="31" t="s">
        <v>56</v>
      </c>
      <c r="F33" s="29" t="s">
        <v>38</v>
      </c>
      <c r="G33" s="31" t="s">
        <v>56</v>
      </c>
      <c r="H33" s="29" t="s">
        <v>38</v>
      </c>
      <c r="I33" s="29" t="str">
        <f aca="false">IF($E33=$G33,"Agree","FLIP")</f>
        <v>Agree</v>
      </c>
      <c r="J33" s="29" t="str">
        <f aca="false">IF($E33=$G33,"—",$E33&amp;"→"&amp;$G33)</f>
        <v>—</v>
      </c>
    </row>
    <row r="34" customFormat="false" ht="30" hidden="false" customHeight="true" outlineLevel="0" collapsed="false">
      <c r="A34" s="29" t="n">
        <v>40</v>
      </c>
      <c r="B34" s="30" t="s">
        <v>119</v>
      </c>
      <c r="C34" s="30" t="s">
        <v>120</v>
      </c>
      <c r="D34" s="30" t="s">
        <v>121</v>
      </c>
      <c r="E34" s="31" t="s">
        <v>56</v>
      </c>
      <c r="F34" s="29" t="s">
        <v>38</v>
      </c>
      <c r="G34" s="31" t="s">
        <v>56</v>
      </c>
      <c r="H34" s="29" t="s">
        <v>38</v>
      </c>
      <c r="I34" s="29" t="str">
        <f aca="false">IF($E34=$G34,"Agree","FLIP")</f>
        <v>Agree</v>
      </c>
      <c r="J34" s="29" t="str">
        <f aca="false">IF($E34=$G34,"—",$E34&amp;"→"&amp;$G34)</f>
        <v>—</v>
      </c>
    </row>
    <row r="35" customFormat="false" ht="30" hidden="false" customHeight="true" outlineLevel="0" collapsed="false">
      <c r="A35" s="29" t="n">
        <v>41</v>
      </c>
      <c r="B35" s="30" t="s">
        <v>100</v>
      </c>
      <c r="C35" s="30" t="s">
        <v>122</v>
      </c>
      <c r="D35" s="30" t="s">
        <v>123</v>
      </c>
      <c r="E35" s="31" t="s">
        <v>56</v>
      </c>
      <c r="F35" s="29" t="s">
        <v>38</v>
      </c>
      <c r="G35" s="31" t="s">
        <v>56</v>
      </c>
      <c r="H35" s="29" t="s">
        <v>38</v>
      </c>
      <c r="I35" s="29" t="str">
        <f aca="false">IF($E35=$G35,"Agree","FLIP")</f>
        <v>Agree</v>
      </c>
      <c r="J35" s="29" t="str">
        <f aca="false">IF($E35=$G35,"—",$E35&amp;"→"&amp;$G35)</f>
        <v>—</v>
      </c>
    </row>
    <row r="36" customFormat="false" ht="30" hidden="false" customHeight="true" outlineLevel="0" collapsed="false">
      <c r="A36" s="29" t="n">
        <v>42</v>
      </c>
      <c r="B36" s="30" t="s">
        <v>119</v>
      </c>
      <c r="C36" s="30" t="s">
        <v>124</v>
      </c>
      <c r="D36" s="30" t="s">
        <v>125</v>
      </c>
      <c r="E36" s="31" t="s">
        <v>56</v>
      </c>
      <c r="F36" s="29" t="s">
        <v>38</v>
      </c>
      <c r="G36" s="31" t="s">
        <v>56</v>
      </c>
      <c r="H36" s="29" t="s">
        <v>38</v>
      </c>
      <c r="I36" s="29" t="str">
        <f aca="false">IF($E36=$G36,"Agree","FLIP")</f>
        <v>Agree</v>
      </c>
      <c r="J36" s="29" t="str">
        <f aca="false">IF($E36=$G36,"—",$E36&amp;"→"&amp;$G36)</f>
        <v>—</v>
      </c>
    </row>
    <row r="37" customFormat="false" ht="30" hidden="false" customHeight="true" outlineLevel="0" collapsed="false">
      <c r="A37" s="29" t="n">
        <v>43</v>
      </c>
      <c r="B37" s="30" t="s">
        <v>61</v>
      </c>
      <c r="C37" s="30" t="s">
        <v>126</v>
      </c>
      <c r="D37" s="30" t="s">
        <v>127</v>
      </c>
      <c r="E37" s="31" t="s">
        <v>56</v>
      </c>
      <c r="F37" s="29" t="s">
        <v>38</v>
      </c>
      <c r="G37" s="31" t="s">
        <v>56</v>
      </c>
      <c r="H37" s="29" t="s">
        <v>38</v>
      </c>
      <c r="I37" s="29" t="str">
        <f aca="false">IF($E37=$G37,"Agree","FLIP")</f>
        <v>Agree</v>
      </c>
      <c r="J37" s="29" t="str">
        <f aca="false">IF($E37=$G37,"—",$E37&amp;"→"&amp;$G37)</f>
        <v>—</v>
      </c>
    </row>
    <row r="38" customFormat="false" ht="30" hidden="false" customHeight="true" outlineLevel="0" collapsed="false">
      <c r="A38" s="29" t="n">
        <v>44</v>
      </c>
      <c r="B38" s="30" t="s">
        <v>119</v>
      </c>
      <c r="C38" s="30" t="s">
        <v>128</v>
      </c>
      <c r="D38" s="30" t="s">
        <v>129</v>
      </c>
      <c r="E38" s="31" t="s">
        <v>56</v>
      </c>
      <c r="F38" s="29" t="s">
        <v>38</v>
      </c>
      <c r="G38" s="31" t="s">
        <v>56</v>
      </c>
      <c r="H38" s="29" t="s">
        <v>38</v>
      </c>
      <c r="I38" s="29" t="str">
        <f aca="false">IF($E38=$G38,"Agree","FLIP")</f>
        <v>Agree</v>
      </c>
      <c r="J38" s="29" t="str">
        <f aca="false">IF($E38=$G38,"—",$E38&amp;"→"&amp;$G38)</f>
        <v>—</v>
      </c>
    </row>
    <row r="39" customFormat="false" ht="30" hidden="false" customHeight="true" outlineLevel="0" collapsed="false">
      <c r="A39" s="29" t="n">
        <v>45</v>
      </c>
      <c r="B39" s="30" t="s">
        <v>100</v>
      </c>
      <c r="C39" s="30" t="s">
        <v>130</v>
      </c>
      <c r="D39" s="30" t="s">
        <v>131</v>
      </c>
      <c r="E39" s="31" t="s">
        <v>56</v>
      </c>
      <c r="F39" s="29" t="s">
        <v>38</v>
      </c>
      <c r="G39" s="31" t="s">
        <v>56</v>
      </c>
      <c r="H39" s="29" t="s">
        <v>38</v>
      </c>
      <c r="I39" s="29" t="str">
        <f aca="false">IF($E39=$G39,"Agree","FLIP")</f>
        <v>Agree</v>
      </c>
      <c r="J39" s="29" t="str">
        <f aca="false">IF($E39=$G39,"—",$E39&amp;"→"&amp;$G39)</f>
        <v>—</v>
      </c>
    </row>
    <row r="40" customFormat="false" ht="30" hidden="false" customHeight="true" outlineLevel="0" collapsed="false">
      <c r="A40" s="29" t="n">
        <v>46</v>
      </c>
      <c r="B40" s="30" t="s">
        <v>64</v>
      </c>
      <c r="C40" s="30" t="s">
        <v>132</v>
      </c>
      <c r="D40" s="30" t="s">
        <v>133</v>
      </c>
      <c r="E40" s="31" t="s">
        <v>56</v>
      </c>
      <c r="F40" s="29" t="s">
        <v>38</v>
      </c>
      <c r="G40" s="31" t="s">
        <v>56</v>
      </c>
      <c r="H40" s="29" t="s">
        <v>38</v>
      </c>
      <c r="I40" s="29" t="str">
        <f aca="false">IF($E40=$G40,"Agree","FLIP")</f>
        <v>Agree</v>
      </c>
      <c r="J40" s="29" t="str">
        <f aca="false">IF($E40=$G40,"—",$E40&amp;"→"&amp;$G40)</f>
        <v>—</v>
      </c>
    </row>
    <row r="41" customFormat="false" ht="30" hidden="false" customHeight="true" outlineLevel="0" collapsed="false">
      <c r="A41" s="29" t="n">
        <v>47</v>
      </c>
      <c r="B41" s="30" t="s">
        <v>64</v>
      </c>
      <c r="C41" s="30" t="s">
        <v>134</v>
      </c>
      <c r="D41" s="30" t="s">
        <v>135</v>
      </c>
      <c r="E41" s="31" t="s">
        <v>56</v>
      </c>
      <c r="F41" s="29" t="s">
        <v>38</v>
      </c>
      <c r="G41" s="31" t="s">
        <v>56</v>
      </c>
      <c r="H41" s="29" t="s">
        <v>38</v>
      </c>
      <c r="I41" s="29" t="str">
        <f aca="false">IF($E41=$G41,"Agree","FLIP")</f>
        <v>Agree</v>
      </c>
      <c r="J41" s="29" t="str">
        <f aca="false">IF($E41=$G41,"—",$E41&amp;"→"&amp;$G41)</f>
        <v>—</v>
      </c>
    </row>
    <row r="42" customFormat="false" ht="30" hidden="false" customHeight="true" outlineLevel="0" collapsed="false">
      <c r="A42" s="29" t="n">
        <v>48</v>
      </c>
      <c r="B42" s="30" t="s">
        <v>58</v>
      </c>
      <c r="C42" s="30" t="s">
        <v>136</v>
      </c>
      <c r="D42" s="30" t="s">
        <v>137</v>
      </c>
      <c r="E42" s="31" t="s">
        <v>56</v>
      </c>
      <c r="F42" s="29" t="s">
        <v>39</v>
      </c>
      <c r="G42" s="31" t="s">
        <v>56</v>
      </c>
      <c r="H42" s="29" t="s">
        <v>38</v>
      </c>
      <c r="I42" s="29" t="str">
        <f aca="false">IF($E42=$G42,"Agree","FLIP")</f>
        <v>Agree</v>
      </c>
      <c r="J42" s="29" t="str">
        <f aca="false">IF($E42=$G42,"—",$E42&amp;"→"&amp;$G42)</f>
        <v>—</v>
      </c>
    </row>
    <row r="43" customFormat="false" ht="30" hidden="false" customHeight="true" outlineLevel="0" collapsed="false">
      <c r="A43" s="29" t="n">
        <v>49</v>
      </c>
      <c r="B43" s="30" t="s">
        <v>58</v>
      </c>
      <c r="C43" s="30" t="s">
        <v>138</v>
      </c>
      <c r="D43" s="30" t="s">
        <v>139</v>
      </c>
      <c r="E43" s="31" t="s">
        <v>56</v>
      </c>
      <c r="F43" s="29" t="s">
        <v>38</v>
      </c>
      <c r="G43" s="31" t="s">
        <v>56</v>
      </c>
      <c r="H43" s="29" t="s">
        <v>38</v>
      </c>
      <c r="I43" s="29" t="str">
        <f aca="false">IF($E43=$G43,"Agree","FLIP")</f>
        <v>Agree</v>
      </c>
      <c r="J43" s="29" t="str">
        <f aca="false">IF($E43=$G43,"—",$E43&amp;"→"&amp;$G43)</f>
        <v>—</v>
      </c>
    </row>
    <row r="44" customFormat="false" ht="30" hidden="false" customHeight="true" outlineLevel="0" collapsed="false">
      <c r="A44" s="29" t="n">
        <v>50</v>
      </c>
      <c r="B44" s="30" t="s">
        <v>100</v>
      </c>
      <c r="C44" s="30" t="s">
        <v>140</v>
      </c>
      <c r="D44" s="30" t="s">
        <v>141</v>
      </c>
      <c r="E44" s="31" t="s">
        <v>56</v>
      </c>
      <c r="F44" s="29" t="s">
        <v>38</v>
      </c>
      <c r="G44" s="31" t="s">
        <v>56</v>
      </c>
      <c r="H44" s="29" t="s">
        <v>38</v>
      </c>
      <c r="I44" s="29" t="str">
        <f aca="false">IF($E44=$G44,"Agree","FLIP")</f>
        <v>Agree</v>
      </c>
      <c r="J44" s="29" t="str">
        <f aca="false">IF($E44=$G44,"—",$E44&amp;"→"&amp;$G44)</f>
        <v>—</v>
      </c>
    </row>
    <row r="45" customFormat="false" ht="30" hidden="false" customHeight="true" outlineLevel="0" collapsed="false">
      <c r="A45" s="29" t="n">
        <v>51</v>
      </c>
      <c r="B45" s="30" t="s">
        <v>119</v>
      </c>
      <c r="C45" s="30" t="s">
        <v>142</v>
      </c>
      <c r="D45" s="30" t="s">
        <v>143</v>
      </c>
      <c r="E45" s="31" t="s">
        <v>56</v>
      </c>
      <c r="F45" s="29" t="s">
        <v>38</v>
      </c>
      <c r="G45" s="31" t="s">
        <v>56</v>
      </c>
      <c r="H45" s="29" t="s">
        <v>38</v>
      </c>
      <c r="I45" s="29" t="str">
        <f aca="false">IF($E45=$G45,"Agree","FLIP")</f>
        <v>Agree</v>
      </c>
      <c r="J45" s="29" t="str">
        <f aca="false">IF($E45=$G45,"—",$E45&amp;"→"&amp;$G45)</f>
        <v>—</v>
      </c>
    </row>
    <row r="46" customFormat="false" ht="30" hidden="false" customHeight="true" outlineLevel="0" collapsed="false">
      <c r="A46" s="29" t="n">
        <v>52</v>
      </c>
      <c r="B46" s="30" t="s">
        <v>119</v>
      </c>
      <c r="C46" s="30" t="s">
        <v>144</v>
      </c>
      <c r="D46" s="30" t="s">
        <v>145</v>
      </c>
      <c r="E46" s="31" t="s">
        <v>56</v>
      </c>
      <c r="F46" s="29" t="s">
        <v>38</v>
      </c>
      <c r="G46" s="31" t="s">
        <v>56</v>
      </c>
      <c r="H46" s="29" t="s">
        <v>38</v>
      </c>
      <c r="I46" s="29" t="str">
        <f aca="false">IF($E46=$G46,"Agree","FLIP")</f>
        <v>Agree</v>
      </c>
      <c r="J46" s="29" t="str">
        <f aca="false">IF($E46=$G46,"—",$E46&amp;"→"&amp;$G46)</f>
        <v>—</v>
      </c>
    </row>
    <row r="47" customFormat="false" ht="30" hidden="false" customHeight="true" outlineLevel="0" collapsed="false">
      <c r="A47" s="29" t="n">
        <v>53</v>
      </c>
      <c r="B47" s="30" t="s">
        <v>69</v>
      </c>
      <c r="C47" s="30" t="s">
        <v>146</v>
      </c>
      <c r="D47" s="30" t="s">
        <v>147</v>
      </c>
      <c r="E47" s="32" t="s">
        <v>57</v>
      </c>
      <c r="F47" s="29" t="s">
        <v>38</v>
      </c>
      <c r="G47" s="32" t="s">
        <v>57</v>
      </c>
      <c r="H47" s="29" t="s">
        <v>38</v>
      </c>
      <c r="I47" s="29" t="str">
        <f aca="false">IF($E47=$G47,"Agree","FLIP")</f>
        <v>Agree</v>
      </c>
      <c r="J47" s="29" t="str">
        <f aca="false">IF($E47=$G47,"—",$E47&amp;"→"&amp;$G47)</f>
        <v>—</v>
      </c>
    </row>
    <row r="48" customFormat="false" ht="30" hidden="false" customHeight="true" outlineLevel="0" collapsed="false">
      <c r="A48" s="29" t="n">
        <v>54</v>
      </c>
      <c r="B48" s="30" t="s">
        <v>69</v>
      </c>
      <c r="C48" s="30" t="s">
        <v>148</v>
      </c>
      <c r="D48" s="30" t="s">
        <v>149</v>
      </c>
      <c r="E48" s="32" t="s">
        <v>57</v>
      </c>
      <c r="F48" s="29" t="s">
        <v>38</v>
      </c>
      <c r="G48" s="32" t="s">
        <v>57</v>
      </c>
      <c r="H48" s="29" t="s">
        <v>38</v>
      </c>
      <c r="I48" s="29" t="str">
        <f aca="false">IF($E48=$G48,"Agree","FLIP")</f>
        <v>Agree</v>
      </c>
      <c r="J48" s="29" t="str">
        <f aca="false">IF($E48=$G48,"—",$E48&amp;"→"&amp;$G48)</f>
        <v>—</v>
      </c>
    </row>
    <row r="49" customFormat="false" ht="30" hidden="false" customHeight="true" outlineLevel="0" collapsed="false">
      <c r="A49" s="29" t="n">
        <v>55</v>
      </c>
      <c r="B49" s="30" t="s">
        <v>100</v>
      </c>
      <c r="C49" s="30" t="s">
        <v>150</v>
      </c>
      <c r="D49" s="30" t="s">
        <v>151</v>
      </c>
      <c r="E49" s="31" t="s">
        <v>56</v>
      </c>
      <c r="F49" s="29" t="s">
        <v>38</v>
      </c>
      <c r="G49" s="31" t="s">
        <v>56</v>
      </c>
      <c r="H49" s="29" t="s">
        <v>38</v>
      </c>
      <c r="I49" s="29" t="str">
        <f aca="false">IF($E49=$G49,"Agree","FLIP")</f>
        <v>Agree</v>
      </c>
      <c r="J49" s="29" t="str">
        <f aca="false">IF($E49=$G49,"—",$E49&amp;"→"&amp;$G49)</f>
        <v>—</v>
      </c>
    </row>
    <row r="50" customFormat="false" ht="30" hidden="false" customHeight="true" outlineLevel="0" collapsed="false">
      <c r="A50" s="29" t="n">
        <v>56</v>
      </c>
      <c r="B50" s="30" t="s">
        <v>53</v>
      </c>
      <c r="C50" s="30" t="s">
        <v>152</v>
      </c>
      <c r="D50" s="30" t="s">
        <v>153</v>
      </c>
      <c r="E50" s="32" t="s">
        <v>57</v>
      </c>
      <c r="F50" s="29" t="s">
        <v>39</v>
      </c>
      <c r="G50" s="31" t="s">
        <v>56</v>
      </c>
      <c r="H50" s="29" t="s">
        <v>38</v>
      </c>
      <c r="I50" s="29" t="str">
        <f aca="false">IF($E50=$G50,"Agree","FLIP")</f>
        <v>FLIP</v>
      </c>
      <c r="J50" s="29" t="str">
        <f aca="false">IF($E50=$G50,"—",$E50&amp;"→"&amp;$G50)</f>
        <v>User→Lemon</v>
      </c>
    </row>
    <row r="51" customFormat="false" ht="30" hidden="false" customHeight="true" outlineLevel="0" collapsed="false">
      <c r="A51" s="29" t="n">
        <v>57</v>
      </c>
      <c r="B51" s="30" t="s">
        <v>64</v>
      </c>
      <c r="C51" s="30" t="s">
        <v>154</v>
      </c>
      <c r="D51" s="30" t="s">
        <v>155</v>
      </c>
      <c r="E51" s="31" t="s">
        <v>56</v>
      </c>
      <c r="F51" s="29" t="s">
        <v>38</v>
      </c>
      <c r="G51" s="31" t="s">
        <v>56</v>
      </c>
      <c r="H51" s="29" t="s">
        <v>38</v>
      </c>
      <c r="I51" s="29" t="str">
        <f aca="false">IF($E51=$G51,"Agree","FLIP")</f>
        <v>Agree</v>
      </c>
      <c r="J51" s="29" t="str">
        <f aca="false">IF($E51=$G51,"—",$E51&amp;"→"&amp;$G51)</f>
        <v>—</v>
      </c>
    </row>
    <row r="52" customFormat="false" ht="30" hidden="false" customHeight="true" outlineLevel="0" collapsed="false">
      <c r="A52" s="29" t="n">
        <v>58</v>
      </c>
      <c r="B52" s="30" t="s">
        <v>61</v>
      </c>
      <c r="C52" s="30" t="s">
        <v>156</v>
      </c>
      <c r="D52" s="30" t="s">
        <v>157</v>
      </c>
      <c r="E52" s="31" t="s">
        <v>56</v>
      </c>
      <c r="F52" s="29" t="s">
        <v>38</v>
      </c>
      <c r="G52" s="31" t="s">
        <v>56</v>
      </c>
      <c r="H52" s="29" t="s">
        <v>38</v>
      </c>
      <c r="I52" s="29" t="str">
        <f aca="false">IF($E52=$G52,"Agree","FLIP")</f>
        <v>Agree</v>
      </c>
      <c r="J52" s="29" t="str">
        <f aca="false">IF($E52=$G52,"—",$E52&amp;"→"&amp;$G52)</f>
        <v>—</v>
      </c>
    </row>
    <row r="53" customFormat="false" ht="30" hidden="false" customHeight="true" outlineLevel="0" collapsed="false">
      <c r="A53" s="29" t="n">
        <v>59</v>
      </c>
      <c r="B53" s="30" t="s">
        <v>53</v>
      </c>
      <c r="C53" s="30" t="s">
        <v>158</v>
      </c>
      <c r="D53" s="30" t="s">
        <v>159</v>
      </c>
      <c r="E53" s="31" t="s">
        <v>56</v>
      </c>
      <c r="F53" s="29" t="s">
        <v>38</v>
      </c>
      <c r="G53" s="31" t="s">
        <v>56</v>
      </c>
      <c r="H53" s="29" t="s">
        <v>38</v>
      </c>
      <c r="I53" s="29" t="str">
        <f aca="false">IF($E53=$G53,"Agree","FLIP")</f>
        <v>Agree</v>
      </c>
      <c r="J53" s="29" t="str">
        <f aca="false">IF($E53=$G53,"—",$E53&amp;"→"&amp;$G53)</f>
        <v>—</v>
      </c>
    </row>
    <row r="54" customFormat="false" ht="30" hidden="false" customHeight="true" outlineLevel="0" collapsed="false">
      <c r="A54" s="29" t="n">
        <v>61</v>
      </c>
      <c r="B54" s="30" t="s">
        <v>69</v>
      </c>
      <c r="C54" s="30" t="s">
        <v>160</v>
      </c>
      <c r="D54" s="30" t="s">
        <v>161</v>
      </c>
      <c r="E54" s="31" t="s">
        <v>56</v>
      </c>
      <c r="F54" s="29" t="s">
        <v>38</v>
      </c>
      <c r="G54" s="31" t="s">
        <v>56</v>
      </c>
      <c r="H54" s="29" t="s">
        <v>38</v>
      </c>
      <c r="I54" s="29" t="str">
        <f aca="false">IF($E54=$G54,"Agree","FLIP")</f>
        <v>Agree</v>
      </c>
      <c r="J54" s="29" t="str">
        <f aca="false">IF($E54=$G54,"—",$E54&amp;"→"&amp;$G54)</f>
        <v>—</v>
      </c>
    </row>
    <row r="55" customFormat="false" ht="30" hidden="false" customHeight="true" outlineLevel="0" collapsed="false">
      <c r="A55" s="29" t="n">
        <v>62</v>
      </c>
      <c r="B55" s="30" t="s">
        <v>119</v>
      </c>
      <c r="C55" s="30" t="s">
        <v>162</v>
      </c>
      <c r="D55" s="30" t="s">
        <v>163</v>
      </c>
      <c r="E55" s="31" t="s">
        <v>56</v>
      </c>
      <c r="F55" s="29" t="s">
        <v>38</v>
      </c>
      <c r="G55" s="31" t="s">
        <v>56</v>
      </c>
      <c r="H55" s="29" t="s">
        <v>38</v>
      </c>
      <c r="I55" s="29" t="str">
        <f aca="false">IF($E55=$G55,"Agree","FLIP")</f>
        <v>Agree</v>
      </c>
      <c r="J55" s="29" t="str">
        <f aca="false">IF($E55=$G55,"—",$E55&amp;"→"&amp;$G55)</f>
        <v>—</v>
      </c>
    </row>
    <row r="56" customFormat="false" ht="30" hidden="false" customHeight="true" outlineLevel="0" collapsed="false">
      <c r="A56" s="29" t="n">
        <v>63</v>
      </c>
      <c r="B56" s="30" t="s">
        <v>119</v>
      </c>
      <c r="C56" s="30" t="s">
        <v>164</v>
      </c>
      <c r="D56" s="30" t="s">
        <v>165</v>
      </c>
      <c r="E56" s="31" t="s">
        <v>56</v>
      </c>
      <c r="F56" s="29" t="s">
        <v>38</v>
      </c>
      <c r="G56" s="31" t="s">
        <v>56</v>
      </c>
      <c r="H56" s="29" t="s">
        <v>38</v>
      </c>
      <c r="I56" s="29" t="str">
        <f aca="false">IF($E56=$G56,"Agree","FLIP")</f>
        <v>Agree</v>
      </c>
      <c r="J56" s="29" t="str">
        <f aca="false">IF($E56=$G56,"—",$E56&amp;"→"&amp;$G56)</f>
        <v>—</v>
      </c>
    </row>
    <row r="57" customFormat="false" ht="30" hidden="false" customHeight="true" outlineLevel="0" collapsed="false">
      <c r="A57" s="29" t="n">
        <v>64</v>
      </c>
      <c r="B57" s="30" t="s">
        <v>53</v>
      </c>
      <c r="C57" s="30" t="s">
        <v>166</v>
      </c>
      <c r="D57" s="30" t="s">
        <v>167</v>
      </c>
      <c r="E57" s="31" t="s">
        <v>56</v>
      </c>
      <c r="F57" s="29" t="s">
        <v>38</v>
      </c>
      <c r="G57" s="31" t="s">
        <v>56</v>
      </c>
      <c r="H57" s="29" t="s">
        <v>39</v>
      </c>
      <c r="I57" s="29" t="str">
        <f aca="false">IF($E57=$G57,"Agree","FLIP")</f>
        <v>Agree</v>
      </c>
      <c r="J57" s="29" t="str">
        <f aca="false">IF($E57=$G57,"—",$E57&amp;"→"&amp;$G57)</f>
        <v>—</v>
      </c>
    </row>
    <row r="58" customFormat="false" ht="30" hidden="false" customHeight="true" outlineLevel="0" collapsed="false">
      <c r="A58" s="29" t="n">
        <v>65</v>
      </c>
      <c r="B58" s="30" t="s">
        <v>61</v>
      </c>
      <c r="C58" s="30" t="s">
        <v>168</v>
      </c>
      <c r="D58" s="30" t="s">
        <v>169</v>
      </c>
      <c r="E58" s="31" t="s">
        <v>56</v>
      </c>
      <c r="F58" s="29" t="s">
        <v>38</v>
      </c>
      <c r="G58" s="31" t="s">
        <v>56</v>
      </c>
      <c r="H58" s="29" t="s">
        <v>39</v>
      </c>
      <c r="I58" s="29" t="str">
        <f aca="false">IF($E58=$G58,"Agree","FLIP")</f>
        <v>Agree</v>
      </c>
      <c r="J58" s="29" t="str">
        <f aca="false">IF($E58=$G58,"—",$E58&amp;"→"&amp;$G58)</f>
        <v>—</v>
      </c>
    </row>
    <row r="59" customFormat="false" ht="30" hidden="false" customHeight="true" outlineLevel="0" collapsed="false">
      <c r="A59" s="29" t="n">
        <v>66</v>
      </c>
      <c r="B59" s="30" t="s">
        <v>170</v>
      </c>
      <c r="C59" s="30" t="s">
        <v>171</v>
      </c>
      <c r="D59" s="30" t="s">
        <v>172</v>
      </c>
      <c r="E59" s="31" t="s">
        <v>56</v>
      </c>
      <c r="F59" s="29" t="s">
        <v>39</v>
      </c>
      <c r="G59" s="31" t="s">
        <v>56</v>
      </c>
      <c r="H59" s="29" t="s">
        <v>38</v>
      </c>
      <c r="I59" s="29" t="str">
        <f aca="false">IF($E59=$G59,"Agree","FLIP")</f>
        <v>Agree</v>
      </c>
      <c r="J59" s="29" t="str">
        <f aca="false">IF($E59=$G59,"—",$E59&amp;"→"&amp;$G59)</f>
        <v>—</v>
      </c>
    </row>
    <row r="60" customFormat="false" ht="30" hidden="false" customHeight="true" outlineLevel="0" collapsed="false">
      <c r="A60" s="29" t="n">
        <v>67</v>
      </c>
      <c r="B60" s="30" t="s">
        <v>61</v>
      </c>
      <c r="C60" s="30" t="s">
        <v>173</v>
      </c>
      <c r="D60" s="30" t="s">
        <v>174</v>
      </c>
      <c r="E60" s="31" t="s">
        <v>56</v>
      </c>
      <c r="F60" s="29" t="s">
        <v>38</v>
      </c>
      <c r="G60" s="31" t="s">
        <v>56</v>
      </c>
      <c r="H60" s="29" t="s">
        <v>38</v>
      </c>
      <c r="I60" s="29" t="str">
        <f aca="false">IF($E60=$G60,"Agree","FLIP")</f>
        <v>Agree</v>
      </c>
      <c r="J60" s="29" t="str">
        <f aca="false">IF($E60=$G60,"—",$E60&amp;"→"&amp;$G60)</f>
        <v>—</v>
      </c>
    </row>
    <row r="61" customFormat="false" ht="30" hidden="false" customHeight="true" outlineLevel="0" collapsed="false">
      <c r="A61" s="29" t="n">
        <v>68</v>
      </c>
      <c r="B61" s="30" t="s">
        <v>61</v>
      </c>
      <c r="C61" s="30" t="s">
        <v>175</v>
      </c>
      <c r="D61" s="30" t="s">
        <v>176</v>
      </c>
      <c r="E61" s="31" t="s">
        <v>56</v>
      </c>
      <c r="F61" s="29" t="s">
        <v>38</v>
      </c>
      <c r="G61" s="31" t="s">
        <v>56</v>
      </c>
      <c r="H61" s="29" t="s">
        <v>38</v>
      </c>
      <c r="I61" s="29" t="str">
        <f aca="false">IF($E61=$G61,"Agree","FLIP")</f>
        <v>Agree</v>
      </c>
      <c r="J61" s="29" t="str">
        <f aca="false">IF($E61=$G61,"—",$E61&amp;"→"&amp;$G61)</f>
        <v>—</v>
      </c>
    </row>
    <row r="62" customFormat="false" ht="30" hidden="false" customHeight="true" outlineLevel="0" collapsed="false">
      <c r="A62" s="29" t="n">
        <v>78</v>
      </c>
      <c r="B62" s="30" t="s">
        <v>119</v>
      </c>
      <c r="C62" s="30" t="s">
        <v>101</v>
      </c>
      <c r="D62" s="30" t="s">
        <v>177</v>
      </c>
      <c r="E62" s="31" t="s">
        <v>56</v>
      </c>
      <c r="F62" s="29" t="s">
        <v>38</v>
      </c>
      <c r="G62" s="31" t="s">
        <v>56</v>
      </c>
      <c r="H62" s="29" t="s">
        <v>38</v>
      </c>
      <c r="I62" s="29" t="str">
        <f aca="false">IF($E62=$G62,"Agree","FLIP")</f>
        <v>Agree</v>
      </c>
      <c r="J62" s="29" t="str">
        <f aca="false">IF($E62=$G62,"—",$E62&amp;"→"&amp;$G62)</f>
        <v>—</v>
      </c>
    </row>
    <row r="63" customFormat="false" ht="30" hidden="false" customHeight="true" outlineLevel="0" collapsed="false">
      <c r="A63" s="29" t="n">
        <v>79</v>
      </c>
      <c r="B63" s="30" t="s">
        <v>69</v>
      </c>
      <c r="C63" s="30" t="s">
        <v>178</v>
      </c>
      <c r="D63" s="30" t="s">
        <v>179</v>
      </c>
      <c r="E63" s="31" t="s">
        <v>56</v>
      </c>
      <c r="F63" s="29" t="s">
        <v>38</v>
      </c>
      <c r="G63" s="31" t="s">
        <v>56</v>
      </c>
      <c r="H63" s="29" t="s">
        <v>38</v>
      </c>
      <c r="I63" s="29" t="str">
        <f aca="false">IF($E63=$G63,"Agree","FLIP")</f>
        <v>Agree</v>
      </c>
      <c r="J63" s="29" t="str">
        <f aca="false">IF($E63=$G63,"—",$E63&amp;"→"&amp;$G63)</f>
        <v>—</v>
      </c>
    </row>
    <row r="64" customFormat="false" ht="30" hidden="false" customHeight="true" outlineLevel="0" collapsed="false">
      <c r="A64" s="29" t="n">
        <v>80</v>
      </c>
      <c r="B64" s="30" t="s">
        <v>61</v>
      </c>
      <c r="C64" s="30" t="s">
        <v>180</v>
      </c>
      <c r="D64" s="30" t="s">
        <v>181</v>
      </c>
      <c r="E64" s="32" t="s">
        <v>57</v>
      </c>
      <c r="F64" s="29" t="s">
        <v>39</v>
      </c>
      <c r="G64" s="31" t="s">
        <v>56</v>
      </c>
      <c r="H64" s="29" t="s">
        <v>39</v>
      </c>
      <c r="I64" s="29" t="str">
        <f aca="false">IF($E64=$G64,"Agree","FLIP")</f>
        <v>FLIP</v>
      </c>
      <c r="J64" s="29" t="str">
        <f aca="false">IF($E64=$G64,"—",$E64&amp;"→"&amp;$G64)</f>
        <v>User→Lemon</v>
      </c>
    </row>
    <row r="65" customFormat="false" ht="30" hidden="false" customHeight="true" outlineLevel="0" collapsed="false">
      <c r="A65" s="29" t="n">
        <v>81</v>
      </c>
      <c r="B65" s="30" t="s">
        <v>61</v>
      </c>
      <c r="C65" s="30" t="s">
        <v>182</v>
      </c>
      <c r="D65" s="30" t="s">
        <v>183</v>
      </c>
      <c r="E65" s="32" t="s">
        <v>57</v>
      </c>
      <c r="F65" s="29" t="s">
        <v>39</v>
      </c>
      <c r="G65" s="31" t="s">
        <v>56</v>
      </c>
      <c r="H65" s="29" t="s">
        <v>39</v>
      </c>
      <c r="I65" s="29" t="str">
        <f aca="false">IF($E65=$G65,"Agree","FLIP")</f>
        <v>FLIP</v>
      </c>
      <c r="J65" s="29" t="str">
        <f aca="false">IF($E65=$G65,"—",$E65&amp;"→"&amp;$G65)</f>
        <v>User→Lemon</v>
      </c>
    </row>
    <row r="66" customFormat="false" ht="30" hidden="false" customHeight="true" outlineLevel="0" collapsed="false">
      <c r="A66" s="29" t="n">
        <v>82</v>
      </c>
      <c r="B66" s="30" t="s">
        <v>53</v>
      </c>
      <c r="C66" s="30" t="s">
        <v>184</v>
      </c>
      <c r="D66" s="30" t="s">
        <v>185</v>
      </c>
      <c r="E66" s="31" t="s">
        <v>56</v>
      </c>
      <c r="F66" s="29" t="s">
        <v>38</v>
      </c>
      <c r="G66" s="31" t="s">
        <v>56</v>
      </c>
      <c r="H66" s="29" t="s">
        <v>39</v>
      </c>
      <c r="I66" s="29" t="str">
        <f aca="false">IF($E66=$G66,"Agree","FLIP")</f>
        <v>Agree</v>
      </c>
      <c r="J66" s="29" t="str">
        <f aca="false">IF($E66=$G66,"—",$E66&amp;"→"&amp;$G66)</f>
        <v>—</v>
      </c>
    </row>
    <row r="67" customFormat="false" ht="30" hidden="false" customHeight="true" outlineLevel="0" collapsed="false">
      <c r="A67" s="29" t="n">
        <v>83</v>
      </c>
      <c r="B67" s="30" t="s">
        <v>61</v>
      </c>
      <c r="C67" s="30" t="s">
        <v>186</v>
      </c>
      <c r="D67" s="30" t="s">
        <v>187</v>
      </c>
      <c r="E67" s="31" t="s">
        <v>56</v>
      </c>
      <c r="F67" s="29" t="s">
        <v>40</v>
      </c>
      <c r="G67" s="31" t="s">
        <v>56</v>
      </c>
      <c r="H67" s="29" t="s">
        <v>39</v>
      </c>
      <c r="I67" s="29" t="str">
        <f aca="false">IF($E67=$G67,"Agree","FLIP")</f>
        <v>Agree</v>
      </c>
      <c r="J67" s="29" t="str">
        <f aca="false">IF($E67=$G67,"—",$E67&amp;"→"&amp;$G67)</f>
        <v>—</v>
      </c>
    </row>
    <row r="68" customFormat="false" ht="30" hidden="false" customHeight="true" outlineLevel="0" collapsed="false">
      <c r="A68" s="29" t="n">
        <v>84</v>
      </c>
      <c r="B68" s="30" t="s">
        <v>119</v>
      </c>
      <c r="C68" s="30" t="s">
        <v>188</v>
      </c>
      <c r="D68" s="30" t="s">
        <v>189</v>
      </c>
      <c r="E68" s="31" t="s">
        <v>56</v>
      </c>
      <c r="F68" s="29" t="s">
        <v>38</v>
      </c>
      <c r="G68" s="31" t="s">
        <v>56</v>
      </c>
      <c r="H68" s="29" t="s">
        <v>38</v>
      </c>
      <c r="I68" s="29" t="str">
        <f aca="false">IF($E68=$G68,"Agree","FLIP")</f>
        <v>Agree</v>
      </c>
      <c r="J68" s="29" t="str">
        <f aca="false">IF($E68=$G68,"—",$E68&amp;"→"&amp;$G68)</f>
        <v>—</v>
      </c>
    </row>
    <row r="69" customFormat="false" ht="30" hidden="false" customHeight="true" outlineLevel="0" collapsed="false">
      <c r="A69" s="29" t="n">
        <v>85</v>
      </c>
      <c r="B69" s="30" t="s">
        <v>58</v>
      </c>
      <c r="C69" s="30" t="s">
        <v>190</v>
      </c>
      <c r="D69" s="30" t="s">
        <v>191</v>
      </c>
      <c r="E69" s="32" t="s">
        <v>57</v>
      </c>
      <c r="F69" s="29" t="s">
        <v>39</v>
      </c>
      <c r="G69" s="31" t="s">
        <v>56</v>
      </c>
      <c r="H69" s="29" t="s">
        <v>38</v>
      </c>
      <c r="I69" s="29" t="str">
        <f aca="false">IF($E69=$G69,"Agree","FLIP")</f>
        <v>FLIP</v>
      </c>
      <c r="J69" s="29" t="str">
        <f aca="false">IF($E69=$G69,"—",$E69&amp;"→"&amp;$G69)</f>
        <v>User→Lemon</v>
      </c>
    </row>
    <row r="70" customFormat="false" ht="30" hidden="false" customHeight="true" outlineLevel="0" collapsed="false">
      <c r="A70" s="29" t="n">
        <v>86</v>
      </c>
      <c r="B70" s="30" t="s">
        <v>170</v>
      </c>
      <c r="C70" s="30" t="s">
        <v>192</v>
      </c>
      <c r="D70" s="30" t="s">
        <v>193</v>
      </c>
      <c r="E70" s="31" t="s">
        <v>56</v>
      </c>
      <c r="F70" s="29" t="s">
        <v>38</v>
      </c>
      <c r="G70" s="31" t="s">
        <v>56</v>
      </c>
      <c r="H70" s="29" t="s">
        <v>38</v>
      </c>
      <c r="I70" s="29" t="str">
        <f aca="false">IF($E70=$G70,"Agree","FLIP")</f>
        <v>Agree</v>
      </c>
      <c r="J70" s="29" t="str">
        <f aca="false">IF($E70=$G70,"—",$E70&amp;"→"&amp;$G70)</f>
        <v>—</v>
      </c>
    </row>
    <row r="71" customFormat="false" ht="30" hidden="false" customHeight="true" outlineLevel="0" collapsed="false">
      <c r="A71" s="29" t="n">
        <v>87</v>
      </c>
      <c r="B71" s="30" t="s">
        <v>100</v>
      </c>
      <c r="C71" s="30" t="s">
        <v>194</v>
      </c>
      <c r="D71" s="30" t="s">
        <v>195</v>
      </c>
      <c r="E71" s="31" t="s">
        <v>56</v>
      </c>
      <c r="F71" s="29" t="s">
        <v>39</v>
      </c>
      <c r="G71" s="31" t="s">
        <v>56</v>
      </c>
      <c r="H71" s="29" t="s">
        <v>39</v>
      </c>
      <c r="I71" s="29" t="str">
        <f aca="false">IF($E71=$G71,"Agree","FLIP")</f>
        <v>Agree</v>
      </c>
      <c r="J71" s="29" t="str">
        <f aca="false">IF($E71=$G71,"—",$E71&amp;"→"&amp;$G71)</f>
        <v>—</v>
      </c>
    </row>
    <row r="72" customFormat="false" ht="30" hidden="false" customHeight="true" outlineLevel="0" collapsed="false">
      <c r="A72" s="29" t="n">
        <v>88</v>
      </c>
      <c r="B72" s="30" t="s">
        <v>170</v>
      </c>
      <c r="C72" s="30" t="s">
        <v>196</v>
      </c>
      <c r="D72" s="30" t="s">
        <v>197</v>
      </c>
      <c r="E72" s="31" t="s">
        <v>56</v>
      </c>
      <c r="F72" s="29" t="s">
        <v>38</v>
      </c>
      <c r="G72" s="31" t="s">
        <v>56</v>
      </c>
      <c r="H72" s="29" t="s">
        <v>39</v>
      </c>
      <c r="I72" s="29" t="str">
        <f aca="false">IF($E72=$G72,"Agree","FLIP")</f>
        <v>Agree</v>
      </c>
      <c r="J72" s="29" t="str">
        <f aca="false">IF($E72=$G72,"—",$E72&amp;"→"&amp;$G72)</f>
        <v>—</v>
      </c>
    </row>
    <row r="73" customFormat="false" ht="30" hidden="false" customHeight="true" outlineLevel="0" collapsed="false">
      <c r="A73" s="29" t="n">
        <v>89</v>
      </c>
      <c r="B73" s="30" t="s">
        <v>64</v>
      </c>
      <c r="C73" s="30" t="s">
        <v>198</v>
      </c>
      <c r="D73" s="30" t="s">
        <v>199</v>
      </c>
      <c r="E73" s="31" t="s">
        <v>56</v>
      </c>
      <c r="F73" s="29" t="s">
        <v>38</v>
      </c>
      <c r="G73" s="31" t="s">
        <v>56</v>
      </c>
      <c r="H73" s="29" t="s">
        <v>38</v>
      </c>
      <c r="I73" s="29" t="str">
        <f aca="false">IF($E73=$G73,"Agree","FLIP")</f>
        <v>Agree</v>
      </c>
      <c r="J73" s="29" t="str">
        <f aca="false">IF($E73=$G73,"—",$E73&amp;"→"&amp;$G73)</f>
        <v>—</v>
      </c>
    </row>
    <row r="74" customFormat="false" ht="30" hidden="false" customHeight="true" outlineLevel="0" collapsed="false">
      <c r="A74" s="29" t="n">
        <v>90</v>
      </c>
      <c r="B74" s="30" t="s">
        <v>61</v>
      </c>
      <c r="C74" s="30" t="s">
        <v>200</v>
      </c>
      <c r="D74" s="30" t="s">
        <v>201</v>
      </c>
      <c r="E74" s="31" t="s">
        <v>56</v>
      </c>
      <c r="F74" s="29" t="s">
        <v>38</v>
      </c>
      <c r="G74" s="31" t="s">
        <v>56</v>
      </c>
      <c r="H74" s="29" t="s">
        <v>38</v>
      </c>
      <c r="I74" s="29" t="str">
        <f aca="false">IF($E74=$G74,"Agree","FLIP")</f>
        <v>Agree</v>
      </c>
      <c r="J74" s="29" t="str">
        <f aca="false">IF($E74=$G74,"—",$E74&amp;"→"&amp;$G74)</f>
        <v>—</v>
      </c>
    </row>
    <row r="75" customFormat="false" ht="30" hidden="false" customHeight="true" outlineLevel="0" collapsed="false">
      <c r="A75" s="29" t="n">
        <v>93</v>
      </c>
      <c r="B75" s="30" t="s">
        <v>100</v>
      </c>
      <c r="C75" s="30" t="s">
        <v>202</v>
      </c>
      <c r="D75" s="30" t="s">
        <v>203</v>
      </c>
      <c r="E75" s="31" t="s">
        <v>56</v>
      </c>
      <c r="F75" s="29" t="s">
        <v>38</v>
      </c>
      <c r="G75" s="31" t="s">
        <v>56</v>
      </c>
      <c r="H75" s="29" t="s">
        <v>39</v>
      </c>
      <c r="I75" s="29" t="str">
        <f aca="false">IF($E75=$G75,"Agree","FLIP")</f>
        <v>Agree</v>
      </c>
      <c r="J75" s="29" t="str">
        <f aca="false">IF($E75=$G75,"—",$E75&amp;"→"&amp;$G75)</f>
        <v>—</v>
      </c>
    </row>
    <row r="76" customFormat="false" ht="30" hidden="false" customHeight="true" outlineLevel="0" collapsed="false">
      <c r="A76" s="29" t="n">
        <v>94</v>
      </c>
      <c r="B76" s="30" t="s">
        <v>53</v>
      </c>
      <c r="C76" s="30" t="s">
        <v>204</v>
      </c>
      <c r="D76" s="30" t="s">
        <v>205</v>
      </c>
      <c r="E76" s="31" t="s">
        <v>56</v>
      </c>
      <c r="F76" s="29" t="s">
        <v>38</v>
      </c>
      <c r="G76" s="31" t="s">
        <v>56</v>
      </c>
      <c r="H76" s="29" t="s">
        <v>38</v>
      </c>
      <c r="I76" s="29" t="str">
        <f aca="false">IF($E76=$G76,"Agree","FLIP")</f>
        <v>Agree</v>
      </c>
      <c r="J76" s="29" t="str">
        <f aca="false">IF($E76=$G76,"—",$E76&amp;"→"&amp;$G76)</f>
        <v>—</v>
      </c>
    </row>
    <row r="77" customFormat="false" ht="30" hidden="false" customHeight="true" outlineLevel="0" collapsed="false">
      <c r="A77" s="29" t="n">
        <v>95</v>
      </c>
      <c r="B77" s="30" t="s">
        <v>61</v>
      </c>
      <c r="C77" s="30" t="s">
        <v>206</v>
      </c>
      <c r="D77" s="30" t="s">
        <v>207</v>
      </c>
      <c r="E77" s="31" t="s">
        <v>56</v>
      </c>
      <c r="F77" s="29" t="s">
        <v>38</v>
      </c>
      <c r="G77" s="31" t="s">
        <v>56</v>
      </c>
      <c r="H77" s="29" t="s">
        <v>39</v>
      </c>
      <c r="I77" s="29" t="str">
        <f aca="false">IF($E77=$G77,"Agree","FLIP")</f>
        <v>Agree</v>
      </c>
      <c r="J77" s="29" t="str">
        <f aca="false">IF($E77=$G77,"—",$E77&amp;"→"&amp;$G77)</f>
        <v>—</v>
      </c>
    </row>
    <row r="78" customFormat="false" ht="30" hidden="false" customHeight="true" outlineLevel="0" collapsed="false">
      <c r="A78" s="29" t="n">
        <v>96</v>
      </c>
      <c r="B78" s="30" t="s">
        <v>53</v>
      </c>
      <c r="C78" s="30" t="s">
        <v>208</v>
      </c>
      <c r="D78" s="30" t="s">
        <v>209</v>
      </c>
      <c r="E78" s="31" t="s">
        <v>56</v>
      </c>
      <c r="F78" s="29" t="s">
        <v>38</v>
      </c>
      <c r="G78" s="31" t="s">
        <v>56</v>
      </c>
      <c r="H78" s="29" t="s">
        <v>38</v>
      </c>
      <c r="I78" s="29" t="str">
        <f aca="false">IF($E78=$G78,"Agree","FLIP")</f>
        <v>Agree</v>
      </c>
      <c r="J78" s="29" t="str">
        <f aca="false">IF($E78=$G78,"—",$E78&amp;"→"&amp;$G78)</f>
        <v>—</v>
      </c>
    </row>
    <row r="79" customFormat="false" ht="30" hidden="false" customHeight="true" outlineLevel="0" collapsed="false">
      <c r="A79" s="29" t="n">
        <v>97</v>
      </c>
      <c r="B79" s="30" t="s">
        <v>53</v>
      </c>
      <c r="C79" s="30" t="s">
        <v>210</v>
      </c>
      <c r="D79" s="30" t="s">
        <v>211</v>
      </c>
      <c r="E79" s="31" t="s">
        <v>56</v>
      </c>
      <c r="F79" s="29" t="s">
        <v>39</v>
      </c>
      <c r="G79" s="31" t="s">
        <v>56</v>
      </c>
      <c r="H79" s="29" t="s">
        <v>38</v>
      </c>
      <c r="I79" s="29" t="str">
        <f aca="false">IF($E79=$G79,"Agree","FLIP")</f>
        <v>Agree</v>
      </c>
      <c r="J79" s="29" t="str">
        <f aca="false">IF($E79=$G79,"—",$E79&amp;"→"&amp;$G79)</f>
        <v>—</v>
      </c>
    </row>
    <row r="80" customFormat="false" ht="30" hidden="false" customHeight="true" outlineLevel="0" collapsed="false">
      <c r="A80" s="29" t="n">
        <v>98</v>
      </c>
      <c r="B80" s="30" t="s">
        <v>61</v>
      </c>
      <c r="C80" s="30" t="s">
        <v>212</v>
      </c>
      <c r="D80" s="30" t="s">
        <v>213</v>
      </c>
      <c r="E80" s="31" t="s">
        <v>56</v>
      </c>
      <c r="F80" s="29" t="s">
        <v>38</v>
      </c>
      <c r="G80" s="31" t="s">
        <v>56</v>
      </c>
      <c r="H80" s="29" t="s">
        <v>38</v>
      </c>
      <c r="I80" s="29" t="str">
        <f aca="false">IF($E80=$G80,"Agree","FLIP")</f>
        <v>Agree</v>
      </c>
      <c r="J80" s="29" t="str">
        <f aca="false">IF($E80=$G80,"—",$E80&amp;"→"&amp;$G80)</f>
        <v>—</v>
      </c>
    </row>
    <row r="81" customFormat="false" ht="30" hidden="false" customHeight="true" outlineLevel="0" collapsed="false">
      <c r="A81" s="29" t="n">
        <v>99</v>
      </c>
      <c r="B81" s="30" t="s">
        <v>100</v>
      </c>
      <c r="C81" s="30" t="s">
        <v>101</v>
      </c>
      <c r="D81" s="30" t="s">
        <v>214</v>
      </c>
      <c r="E81" s="31" t="s">
        <v>56</v>
      </c>
      <c r="F81" s="29" t="s">
        <v>38</v>
      </c>
      <c r="G81" s="31" t="s">
        <v>56</v>
      </c>
      <c r="H81" s="29" t="s">
        <v>38</v>
      </c>
      <c r="I81" s="29" t="str">
        <f aca="false">IF($E81=$G81,"Agree","FLIP")</f>
        <v>Agree</v>
      </c>
      <c r="J81" s="29" t="str">
        <f aca="false">IF($E81=$G81,"—",$E81&amp;"→"&amp;$G81)</f>
        <v>—</v>
      </c>
    </row>
    <row r="82" customFormat="false" ht="30" hidden="false" customHeight="true" outlineLevel="0" collapsed="false">
      <c r="A82" s="29" t="n">
        <v>100</v>
      </c>
      <c r="B82" s="30" t="s">
        <v>100</v>
      </c>
      <c r="C82" s="30" t="s">
        <v>215</v>
      </c>
      <c r="D82" s="30" t="s">
        <v>216</v>
      </c>
      <c r="E82" s="32" t="s">
        <v>57</v>
      </c>
      <c r="F82" s="29" t="s">
        <v>39</v>
      </c>
      <c r="G82" s="31" t="s">
        <v>56</v>
      </c>
      <c r="H82" s="29" t="s">
        <v>39</v>
      </c>
      <c r="I82" s="29" t="str">
        <f aca="false">IF($E82=$G82,"Agree","FLIP")</f>
        <v>FLIP</v>
      </c>
      <c r="J82" s="29" t="str">
        <f aca="false">IF($E82=$G82,"—",$E82&amp;"→"&amp;$G82)</f>
        <v>User→Lemon</v>
      </c>
    </row>
    <row r="83" customFormat="false" ht="30" hidden="false" customHeight="true" outlineLevel="0" collapsed="false">
      <c r="A83" s="29" t="n">
        <v>101</v>
      </c>
      <c r="B83" s="30" t="s">
        <v>53</v>
      </c>
      <c r="C83" s="30" t="s">
        <v>217</v>
      </c>
      <c r="D83" s="30" t="s">
        <v>218</v>
      </c>
      <c r="E83" s="31" t="s">
        <v>56</v>
      </c>
      <c r="F83" s="29" t="s">
        <v>38</v>
      </c>
      <c r="G83" s="31" t="s">
        <v>56</v>
      </c>
      <c r="H83" s="29" t="s">
        <v>39</v>
      </c>
      <c r="I83" s="29" t="str">
        <f aca="false">IF($E83=$G83,"Agree","FLIP")</f>
        <v>Agree</v>
      </c>
      <c r="J83" s="29" t="str">
        <f aca="false">IF($E83=$G83,"—",$E83&amp;"→"&amp;$G83)</f>
        <v>—</v>
      </c>
    </row>
    <row r="84" customFormat="false" ht="30" hidden="false" customHeight="true" outlineLevel="0" collapsed="false">
      <c r="A84" s="29" t="n">
        <v>102</v>
      </c>
      <c r="B84" s="30" t="s">
        <v>100</v>
      </c>
      <c r="C84" s="30" t="s">
        <v>219</v>
      </c>
      <c r="D84" s="30" t="s">
        <v>220</v>
      </c>
      <c r="E84" s="31" t="s">
        <v>56</v>
      </c>
      <c r="F84" s="29" t="s">
        <v>38</v>
      </c>
      <c r="G84" s="31" t="s">
        <v>56</v>
      </c>
      <c r="H84" s="29" t="s">
        <v>38</v>
      </c>
      <c r="I84" s="29" t="str">
        <f aca="false">IF($E84=$G84,"Agree","FLIP")</f>
        <v>Agree</v>
      </c>
      <c r="J84" s="29" t="str">
        <f aca="false">IF($E84=$G84,"—",$E84&amp;"→"&amp;$G84)</f>
        <v>—</v>
      </c>
    </row>
    <row r="85" customFormat="false" ht="30" hidden="false" customHeight="true" outlineLevel="0" collapsed="false">
      <c r="A85" s="29" t="n">
        <v>103</v>
      </c>
      <c r="B85" s="30" t="s">
        <v>61</v>
      </c>
      <c r="C85" s="30" t="s">
        <v>221</v>
      </c>
      <c r="D85" s="30" t="s">
        <v>222</v>
      </c>
      <c r="E85" s="31" t="s">
        <v>56</v>
      </c>
      <c r="F85" s="29" t="s">
        <v>38</v>
      </c>
      <c r="G85" s="31" t="s">
        <v>56</v>
      </c>
      <c r="H85" s="29" t="s">
        <v>39</v>
      </c>
      <c r="I85" s="29" t="str">
        <f aca="false">IF($E85=$G85,"Agree","FLIP")</f>
        <v>Agree</v>
      </c>
      <c r="J85" s="29" t="str">
        <f aca="false">IF($E85=$G85,"—",$E85&amp;"→"&amp;$G85)</f>
        <v>—</v>
      </c>
    </row>
    <row r="86" customFormat="false" ht="30" hidden="false" customHeight="true" outlineLevel="0" collapsed="false">
      <c r="A86" s="29" t="n">
        <v>104</v>
      </c>
      <c r="B86" s="30" t="s">
        <v>53</v>
      </c>
      <c r="C86" s="30" t="s">
        <v>223</v>
      </c>
      <c r="D86" s="30" t="s">
        <v>224</v>
      </c>
      <c r="E86" s="31" t="s">
        <v>56</v>
      </c>
      <c r="F86" s="29" t="s">
        <v>38</v>
      </c>
      <c r="G86" s="31" t="s">
        <v>56</v>
      </c>
      <c r="H86" s="29" t="s">
        <v>38</v>
      </c>
      <c r="I86" s="29" t="str">
        <f aca="false">IF($E86=$G86,"Agree","FLIP")</f>
        <v>Agree</v>
      </c>
      <c r="J86" s="29" t="str">
        <f aca="false">IF($E86=$G86,"—",$E86&amp;"→"&amp;$G86)</f>
        <v>—</v>
      </c>
    </row>
    <row r="87" customFormat="false" ht="30" hidden="false" customHeight="true" outlineLevel="0" collapsed="false">
      <c r="A87" s="29" t="n">
        <v>105</v>
      </c>
      <c r="B87" s="30" t="s">
        <v>64</v>
      </c>
      <c r="C87" s="30" t="s">
        <v>225</v>
      </c>
      <c r="D87" s="30" t="s">
        <v>226</v>
      </c>
      <c r="E87" s="31" t="s">
        <v>56</v>
      </c>
      <c r="F87" s="29" t="s">
        <v>38</v>
      </c>
      <c r="G87" s="31" t="s">
        <v>56</v>
      </c>
      <c r="H87" s="29" t="s">
        <v>38</v>
      </c>
      <c r="I87" s="29" t="str">
        <f aca="false">IF($E87=$G87,"Agree","FLIP")</f>
        <v>Agree</v>
      </c>
      <c r="J87" s="29" t="str">
        <f aca="false">IF($E87=$G87,"—",$E87&amp;"→"&amp;$G87)</f>
        <v>—</v>
      </c>
    </row>
    <row r="88" customFormat="false" ht="30" hidden="false" customHeight="true" outlineLevel="0" collapsed="false">
      <c r="A88" s="29" t="n">
        <v>106</v>
      </c>
      <c r="B88" s="30" t="s">
        <v>100</v>
      </c>
      <c r="C88" s="30" t="s">
        <v>227</v>
      </c>
      <c r="D88" s="30" t="s">
        <v>228</v>
      </c>
      <c r="E88" s="31" t="s">
        <v>56</v>
      </c>
      <c r="F88" s="29" t="s">
        <v>39</v>
      </c>
      <c r="G88" s="31" t="s">
        <v>56</v>
      </c>
      <c r="H88" s="29" t="s">
        <v>38</v>
      </c>
      <c r="I88" s="29" t="str">
        <f aca="false">IF($E88=$G88,"Agree","FLIP")</f>
        <v>Agree</v>
      </c>
      <c r="J88" s="29" t="str">
        <f aca="false">IF($E88=$G88,"—",$E88&amp;"→"&amp;$G88)</f>
        <v>—</v>
      </c>
    </row>
    <row r="89" customFormat="false" ht="30" hidden="false" customHeight="true" outlineLevel="0" collapsed="false">
      <c r="A89" s="29" t="n">
        <v>107</v>
      </c>
      <c r="B89" s="30" t="s">
        <v>61</v>
      </c>
      <c r="C89" s="30" t="s">
        <v>229</v>
      </c>
      <c r="D89" s="30" t="s">
        <v>230</v>
      </c>
      <c r="E89" s="31" t="s">
        <v>56</v>
      </c>
      <c r="F89" s="29" t="s">
        <v>40</v>
      </c>
      <c r="G89" s="31" t="s">
        <v>56</v>
      </c>
      <c r="H89" s="29" t="s">
        <v>39</v>
      </c>
      <c r="I89" s="29" t="str">
        <f aca="false">IF($E89=$G89,"Agree","FLIP")</f>
        <v>Agree</v>
      </c>
      <c r="J89" s="29" t="str">
        <f aca="false">IF($E89=$G89,"—",$E89&amp;"→"&amp;$G89)</f>
        <v>—</v>
      </c>
    </row>
    <row r="90" customFormat="false" ht="30" hidden="false" customHeight="true" outlineLevel="0" collapsed="false">
      <c r="A90" s="29" t="n">
        <v>108</v>
      </c>
      <c r="B90" s="30" t="s">
        <v>61</v>
      </c>
      <c r="C90" s="30" t="s">
        <v>231</v>
      </c>
      <c r="D90" s="30" t="s">
        <v>232</v>
      </c>
      <c r="E90" s="31" t="s">
        <v>56</v>
      </c>
      <c r="F90" s="29" t="s">
        <v>38</v>
      </c>
      <c r="G90" s="31" t="s">
        <v>56</v>
      </c>
      <c r="H90" s="29" t="s">
        <v>38</v>
      </c>
      <c r="I90" s="29" t="str">
        <f aca="false">IF($E90=$G90,"Agree","FLIP")</f>
        <v>Agree</v>
      </c>
      <c r="J90" s="29" t="str">
        <f aca="false">IF($E90=$G90,"—",$E90&amp;"→"&amp;$G90)</f>
        <v>—</v>
      </c>
    </row>
    <row r="91" customFormat="false" ht="30" hidden="false" customHeight="true" outlineLevel="0" collapsed="false">
      <c r="A91" s="29" t="n">
        <v>109</v>
      </c>
      <c r="B91" s="30" t="s">
        <v>61</v>
      </c>
      <c r="C91" s="30" t="s">
        <v>233</v>
      </c>
      <c r="D91" s="30" t="s">
        <v>234</v>
      </c>
      <c r="E91" s="31" t="s">
        <v>56</v>
      </c>
      <c r="F91" s="29" t="s">
        <v>38</v>
      </c>
      <c r="G91" s="31" t="s">
        <v>56</v>
      </c>
      <c r="H91" s="29" t="s">
        <v>38</v>
      </c>
      <c r="I91" s="29" t="str">
        <f aca="false">IF($E91=$G91,"Agree","FLIP")</f>
        <v>Agree</v>
      </c>
      <c r="J91" s="29" t="str">
        <f aca="false">IF($E91=$G91,"—",$E91&amp;"→"&amp;$G91)</f>
        <v>—</v>
      </c>
    </row>
    <row r="92" customFormat="false" ht="30" hidden="false" customHeight="true" outlineLevel="0" collapsed="false">
      <c r="A92" s="29" t="n">
        <v>110</v>
      </c>
      <c r="B92" s="30" t="s">
        <v>119</v>
      </c>
      <c r="C92" s="30" t="s">
        <v>235</v>
      </c>
      <c r="D92" s="30" t="s">
        <v>236</v>
      </c>
      <c r="E92" s="31" t="s">
        <v>56</v>
      </c>
      <c r="F92" s="29" t="s">
        <v>38</v>
      </c>
      <c r="G92" s="31" t="s">
        <v>56</v>
      </c>
      <c r="H92" s="29" t="s">
        <v>38</v>
      </c>
      <c r="I92" s="29" t="str">
        <f aca="false">IF($E92=$G92,"Agree","FLIP")</f>
        <v>Agree</v>
      </c>
      <c r="J92" s="29" t="str">
        <f aca="false">IF($E92=$G92,"—",$E92&amp;"→"&amp;$G92)</f>
        <v>—</v>
      </c>
    </row>
    <row r="93" customFormat="false" ht="30" hidden="false" customHeight="true" outlineLevel="0" collapsed="false">
      <c r="A93" s="29" t="n">
        <v>111</v>
      </c>
      <c r="B93" s="30" t="s">
        <v>170</v>
      </c>
      <c r="C93" s="30" t="s">
        <v>237</v>
      </c>
      <c r="D93" s="30" t="s">
        <v>238</v>
      </c>
      <c r="E93" s="31" t="s">
        <v>56</v>
      </c>
      <c r="F93" s="29" t="s">
        <v>38</v>
      </c>
      <c r="G93" s="31" t="s">
        <v>56</v>
      </c>
      <c r="H93" s="29" t="s">
        <v>38</v>
      </c>
      <c r="I93" s="29" t="str">
        <f aca="false">IF($E93=$G93,"Agree","FLIP")</f>
        <v>Agree</v>
      </c>
      <c r="J93" s="29" t="str">
        <f aca="false">IF($E93=$G93,"—",$E93&amp;"→"&amp;$G93)</f>
        <v>—</v>
      </c>
    </row>
    <row r="94" customFormat="false" ht="30" hidden="false" customHeight="true" outlineLevel="0" collapsed="false">
      <c r="A94" s="29" t="n">
        <v>112</v>
      </c>
      <c r="B94" s="30" t="s">
        <v>53</v>
      </c>
      <c r="C94" s="30" t="s">
        <v>239</v>
      </c>
      <c r="D94" s="30" t="s">
        <v>240</v>
      </c>
      <c r="E94" s="31" t="s">
        <v>56</v>
      </c>
      <c r="F94" s="29" t="s">
        <v>38</v>
      </c>
      <c r="G94" s="31" t="s">
        <v>56</v>
      </c>
      <c r="H94" s="29" t="s">
        <v>38</v>
      </c>
      <c r="I94" s="29" t="str">
        <f aca="false">IF($E94=$G94,"Agree","FLIP")</f>
        <v>Agree</v>
      </c>
      <c r="J94" s="29" t="str">
        <f aca="false">IF($E94=$G94,"—",$E94&amp;"→"&amp;$G94)</f>
        <v>—</v>
      </c>
    </row>
    <row r="95" customFormat="false" ht="30" hidden="false" customHeight="true" outlineLevel="0" collapsed="false">
      <c r="A95" s="29" t="n">
        <v>113</v>
      </c>
      <c r="B95" s="30" t="s">
        <v>61</v>
      </c>
      <c r="C95" s="30" t="s">
        <v>241</v>
      </c>
      <c r="D95" s="30" t="s">
        <v>242</v>
      </c>
      <c r="E95" s="31" t="s">
        <v>56</v>
      </c>
      <c r="F95" s="29" t="s">
        <v>39</v>
      </c>
      <c r="G95" s="31" t="s">
        <v>56</v>
      </c>
      <c r="H95" s="29" t="s">
        <v>39</v>
      </c>
      <c r="I95" s="29" t="str">
        <f aca="false">IF($E95=$G95,"Agree","FLIP")</f>
        <v>Agree</v>
      </c>
      <c r="J95" s="29" t="str">
        <f aca="false">IF($E95=$G95,"—",$E95&amp;"→"&amp;$G95)</f>
        <v>—</v>
      </c>
    </row>
    <row r="96" customFormat="false" ht="30" hidden="false" customHeight="true" outlineLevel="0" collapsed="false">
      <c r="A96" s="29" t="n">
        <v>114</v>
      </c>
      <c r="B96" s="30" t="s">
        <v>100</v>
      </c>
      <c r="C96" s="30" t="s">
        <v>243</v>
      </c>
      <c r="D96" s="30" t="s">
        <v>244</v>
      </c>
      <c r="E96" s="31" t="s">
        <v>56</v>
      </c>
      <c r="F96" s="29" t="s">
        <v>38</v>
      </c>
      <c r="G96" s="31" t="s">
        <v>56</v>
      </c>
      <c r="H96" s="29" t="s">
        <v>38</v>
      </c>
      <c r="I96" s="29" t="str">
        <f aca="false">IF($E96=$G96,"Agree","FLIP")</f>
        <v>Agree</v>
      </c>
      <c r="J96" s="29" t="str">
        <f aca="false">IF($E96=$G96,"—",$E96&amp;"→"&amp;$G96)</f>
        <v>—</v>
      </c>
    </row>
    <row r="97" customFormat="false" ht="30" hidden="false" customHeight="true" outlineLevel="0" collapsed="false">
      <c r="A97" s="29" t="n">
        <v>116</v>
      </c>
      <c r="B97" s="30" t="s">
        <v>53</v>
      </c>
      <c r="C97" s="30" t="s">
        <v>245</v>
      </c>
      <c r="D97" s="30" t="s">
        <v>246</v>
      </c>
      <c r="E97" s="31" t="s">
        <v>56</v>
      </c>
      <c r="F97" s="29" t="s">
        <v>38</v>
      </c>
      <c r="G97" s="31" t="s">
        <v>56</v>
      </c>
      <c r="H97" s="29" t="s">
        <v>38</v>
      </c>
      <c r="I97" s="29" t="str">
        <f aca="false">IF($E97=$G97,"Agree","FLIP")</f>
        <v>Agree</v>
      </c>
      <c r="J97" s="29" t="str">
        <f aca="false">IF($E97=$G97,"—",$E97&amp;"→"&amp;$G97)</f>
        <v>—</v>
      </c>
    </row>
    <row r="98" customFormat="false" ht="30" hidden="false" customHeight="true" outlineLevel="0" collapsed="false">
      <c r="A98" s="29" t="n">
        <v>117</v>
      </c>
      <c r="B98" s="30" t="s">
        <v>100</v>
      </c>
      <c r="C98" s="30" t="s">
        <v>247</v>
      </c>
      <c r="D98" s="30" t="s">
        <v>248</v>
      </c>
      <c r="E98" s="32" t="s">
        <v>57</v>
      </c>
      <c r="F98" s="29" t="s">
        <v>38</v>
      </c>
      <c r="G98" s="31" t="s">
        <v>56</v>
      </c>
      <c r="H98" s="29" t="s">
        <v>39</v>
      </c>
      <c r="I98" s="29" t="str">
        <f aca="false">IF($E98=$G98,"Agree","FLIP")</f>
        <v>FLIP</v>
      </c>
      <c r="J98" s="29" t="str">
        <f aca="false">IF($E98=$G98,"—",$E98&amp;"→"&amp;$G98)</f>
        <v>User→Lemon</v>
      </c>
    </row>
    <row r="99" customFormat="false" ht="30" hidden="false" customHeight="true" outlineLevel="0" collapsed="false">
      <c r="A99" s="29" t="n">
        <v>118</v>
      </c>
      <c r="B99" s="30" t="s">
        <v>100</v>
      </c>
      <c r="C99" s="30" t="s">
        <v>249</v>
      </c>
      <c r="D99" s="30" t="s">
        <v>250</v>
      </c>
      <c r="E99" s="31" t="s">
        <v>56</v>
      </c>
      <c r="F99" s="29" t="s">
        <v>38</v>
      </c>
      <c r="G99" s="31" t="s">
        <v>56</v>
      </c>
      <c r="H99" s="29" t="s">
        <v>38</v>
      </c>
      <c r="I99" s="29" t="str">
        <f aca="false">IF($E99=$G99,"Agree","FLIP")</f>
        <v>Agree</v>
      </c>
      <c r="J99" s="29" t="str">
        <f aca="false">IF($E99=$G99,"—",$E99&amp;"→"&amp;$G99)</f>
        <v>—</v>
      </c>
    </row>
    <row r="100" customFormat="false" ht="30" hidden="false" customHeight="true" outlineLevel="0" collapsed="false">
      <c r="A100" s="29" t="n">
        <v>119</v>
      </c>
      <c r="B100" s="30" t="s">
        <v>61</v>
      </c>
      <c r="C100" s="30" t="s">
        <v>251</v>
      </c>
      <c r="D100" s="30" t="s">
        <v>252</v>
      </c>
      <c r="E100" s="31" t="s">
        <v>56</v>
      </c>
      <c r="F100" s="29" t="s">
        <v>39</v>
      </c>
      <c r="G100" s="31" t="s">
        <v>56</v>
      </c>
      <c r="H100" s="29" t="s">
        <v>38</v>
      </c>
      <c r="I100" s="29" t="str">
        <f aca="false">IF($E100=$G100,"Agree","FLIP")</f>
        <v>Agree</v>
      </c>
      <c r="J100" s="29" t="str">
        <f aca="false">IF($E100=$G100,"—",$E100&amp;"→"&amp;$G100)</f>
        <v>—</v>
      </c>
    </row>
    <row r="101" customFormat="false" ht="30" hidden="false" customHeight="true" outlineLevel="0" collapsed="false">
      <c r="A101" s="29" t="n">
        <v>120</v>
      </c>
      <c r="B101" s="30" t="s">
        <v>119</v>
      </c>
      <c r="C101" s="30" t="s">
        <v>253</v>
      </c>
      <c r="D101" s="30" t="s">
        <v>254</v>
      </c>
      <c r="E101" s="31" t="s">
        <v>56</v>
      </c>
      <c r="F101" s="29" t="s">
        <v>38</v>
      </c>
      <c r="G101" s="31" t="s">
        <v>56</v>
      </c>
      <c r="H101" s="29" t="s">
        <v>38</v>
      </c>
      <c r="I101" s="29" t="str">
        <f aca="false">IF($E101=$G101,"Agree","FLIP")</f>
        <v>Agree</v>
      </c>
      <c r="J101" s="29" t="str">
        <f aca="false">IF($E101=$G101,"—",$E101&amp;"→"&amp;$G101)</f>
        <v>—</v>
      </c>
    </row>
    <row r="102" customFormat="false" ht="30" hidden="false" customHeight="true" outlineLevel="0" collapsed="false">
      <c r="A102" s="29" t="n">
        <v>121</v>
      </c>
      <c r="B102" s="30" t="s">
        <v>53</v>
      </c>
      <c r="C102" s="30" t="s">
        <v>255</v>
      </c>
      <c r="D102" s="30" t="s">
        <v>256</v>
      </c>
      <c r="E102" s="31" t="s">
        <v>56</v>
      </c>
      <c r="F102" s="29" t="s">
        <v>38</v>
      </c>
      <c r="G102" s="31" t="s">
        <v>56</v>
      </c>
      <c r="H102" s="29" t="s">
        <v>38</v>
      </c>
      <c r="I102" s="29" t="str">
        <f aca="false">IF($E102=$G102,"Agree","FLIP")</f>
        <v>Agree</v>
      </c>
      <c r="J102" s="29" t="str">
        <f aca="false">IF($E102=$G102,"—",$E102&amp;"→"&amp;$G102)</f>
        <v>—</v>
      </c>
    </row>
    <row r="103" customFormat="false" ht="30" hidden="false" customHeight="true" outlineLevel="0" collapsed="false">
      <c r="A103" s="29" t="n">
        <v>122</v>
      </c>
      <c r="B103" s="30" t="s">
        <v>119</v>
      </c>
      <c r="C103" s="30" t="s">
        <v>257</v>
      </c>
      <c r="D103" s="30" t="s">
        <v>258</v>
      </c>
      <c r="E103" s="31" t="s">
        <v>56</v>
      </c>
      <c r="F103" s="29" t="s">
        <v>38</v>
      </c>
      <c r="G103" s="31" t="s">
        <v>56</v>
      </c>
      <c r="H103" s="29" t="s">
        <v>38</v>
      </c>
      <c r="I103" s="29" t="str">
        <f aca="false">IF($E103=$G103,"Agree","FLIP")</f>
        <v>Agree</v>
      </c>
      <c r="J103" s="29" t="str">
        <f aca="false">IF($E103=$G103,"—",$E103&amp;"→"&amp;$G103)</f>
        <v>—</v>
      </c>
    </row>
  </sheetData>
  <conditionalFormatting sqref="A5:J103">
    <cfRule type="expression" priority="2" aboveAverage="0" equalAverage="0" bottom="0" percent="0" rank="0" text="" dxfId="0">
      <formula>$E5&lt;&gt;$G5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20"/>
    <col collapsed="false" customWidth="true" hidden="false" outlineLevel="0" max="3" min="3" style="0" width="11"/>
    <col collapsed="false" customWidth="true" hidden="false" outlineLevel="0" max="7" min="4" style="0" width="8"/>
    <col collapsed="false" customWidth="true" hidden="false" outlineLevel="0" max="8" min="8" style="0" width="13"/>
    <col collapsed="false" customWidth="true" hidden="false" outlineLevel="0" max="10" min="9" style="0" width="52"/>
    <col collapsed="false" customWidth="true" hidden="false" outlineLevel="0" max="11" min="11" style="0" width="11"/>
    <col collapsed="false" customWidth="true" hidden="false" outlineLevel="0" max="12" min="12" style="0" width="15"/>
  </cols>
  <sheetData>
    <row r="1" customFormat="false" ht="17.35" hidden="false" customHeight="false" outlineLevel="0" collapsed="false">
      <c r="A1" s="26" t="s">
        <v>259</v>
      </c>
    </row>
    <row r="2" customFormat="false" ht="15" hidden="false" customHeight="false" outlineLevel="0" collapsed="false">
      <c r="A2" s="33" t="s">
        <v>260</v>
      </c>
    </row>
    <row r="4" customFormat="false" ht="23.85" hidden="false" customHeight="false" outlineLevel="0" collapsed="false">
      <c r="A4" s="34" t="s">
        <v>261</v>
      </c>
      <c r="B4" s="34" t="s">
        <v>44</v>
      </c>
      <c r="C4" s="34" t="s">
        <v>262</v>
      </c>
      <c r="D4" s="34" t="s">
        <v>30</v>
      </c>
      <c r="E4" s="34" t="s">
        <v>263</v>
      </c>
      <c r="F4" s="34" t="s">
        <v>31</v>
      </c>
      <c r="G4" s="34" t="s">
        <v>263</v>
      </c>
      <c r="H4" s="34" t="s">
        <v>264</v>
      </c>
      <c r="I4" s="35" t="s">
        <v>265</v>
      </c>
      <c r="J4" s="35" t="s">
        <v>266</v>
      </c>
      <c r="K4" s="35" t="s">
        <v>267</v>
      </c>
      <c r="L4" s="35" t="s">
        <v>268</v>
      </c>
    </row>
    <row r="5" customFormat="false" ht="117.75" hidden="false" customHeight="true" outlineLevel="0" collapsed="false">
      <c r="A5" s="36" t="n">
        <v>4</v>
      </c>
      <c r="B5" s="37" t="s">
        <v>269</v>
      </c>
      <c r="C5" s="36" t="s">
        <v>270</v>
      </c>
      <c r="D5" s="38" t="s">
        <v>56</v>
      </c>
      <c r="E5" s="36" t="s">
        <v>39</v>
      </c>
      <c r="F5" s="39" t="s">
        <v>57</v>
      </c>
      <c r="G5" s="36" t="s">
        <v>39</v>
      </c>
      <c r="H5" s="40" t="s">
        <v>271</v>
      </c>
      <c r="I5" s="37" t="s">
        <v>272</v>
      </c>
      <c r="J5" s="37" t="s">
        <v>273</v>
      </c>
      <c r="K5" s="36" t="s">
        <v>274</v>
      </c>
      <c r="L5" s="36" t="s">
        <v>275</v>
      </c>
    </row>
    <row r="6" customFormat="false" ht="117.75" hidden="false" customHeight="true" outlineLevel="0" collapsed="false">
      <c r="A6" s="36" t="n">
        <v>7</v>
      </c>
      <c r="B6" s="37" t="s">
        <v>276</v>
      </c>
      <c r="C6" s="36" t="s">
        <v>65</v>
      </c>
      <c r="D6" s="39" t="s">
        <v>57</v>
      </c>
      <c r="E6" s="36" t="s">
        <v>39</v>
      </c>
      <c r="F6" s="38" t="s">
        <v>56</v>
      </c>
      <c r="G6" s="36" t="s">
        <v>39</v>
      </c>
      <c r="H6" s="36" t="s">
        <v>277</v>
      </c>
      <c r="I6" s="37" t="s">
        <v>278</v>
      </c>
      <c r="J6" s="37" t="s">
        <v>279</v>
      </c>
      <c r="K6" s="36" t="s">
        <v>280</v>
      </c>
      <c r="L6" s="36" t="s">
        <v>281</v>
      </c>
    </row>
    <row r="7" customFormat="false" ht="117.75" hidden="false" customHeight="true" outlineLevel="0" collapsed="false">
      <c r="A7" s="36" t="n">
        <v>11</v>
      </c>
      <c r="B7" s="37" t="s">
        <v>282</v>
      </c>
      <c r="C7" s="36" t="s">
        <v>283</v>
      </c>
      <c r="D7" s="39" t="s">
        <v>57</v>
      </c>
      <c r="E7" s="36" t="s">
        <v>39</v>
      </c>
      <c r="F7" s="38" t="s">
        <v>56</v>
      </c>
      <c r="G7" s="36" t="s">
        <v>39</v>
      </c>
      <c r="H7" s="36" t="s">
        <v>277</v>
      </c>
      <c r="I7" s="37" t="s">
        <v>284</v>
      </c>
      <c r="J7" s="37" t="s">
        <v>285</v>
      </c>
      <c r="K7" s="36" t="s">
        <v>286</v>
      </c>
      <c r="L7" s="36" t="s">
        <v>281</v>
      </c>
    </row>
    <row r="8" customFormat="false" ht="117.75" hidden="false" customHeight="true" outlineLevel="0" collapsed="false">
      <c r="A8" s="36" t="n">
        <v>25</v>
      </c>
      <c r="B8" s="37" t="s">
        <v>287</v>
      </c>
      <c r="C8" s="36" t="s">
        <v>288</v>
      </c>
      <c r="D8" s="39" t="s">
        <v>57</v>
      </c>
      <c r="E8" s="36" t="s">
        <v>38</v>
      </c>
      <c r="F8" s="38" t="s">
        <v>56</v>
      </c>
      <c r="G8" s="36" t="s">
        <v>39</v>
      </c>
      <c r="H8" s="36" t="s">
        <v>277</v>
      </c>
      <c r="I8" s="37" t="s">
        <v>289</v>
      </c>
      <c r="J8" s="37" t="s">
        <v>290</v>
      </c>
      <c r="K8" s="36" t="s">
        <v>291</v>
      </c>
      <c r="L8" s="41" t="s">
        <v>292</v>
      </c>
    </row>
    <row r="9" customFormat="false" ht="117.75" hidden="false" customHeight="true" outlineLevel="0" collapsed="false">
      <c r="A9" s="36" t="n">
        <v>27</v>
      </c>
      <c r="B9" s="37" t="s">
        <v>293</v>
      </c>
      <c r="C9" s="36" t="s">
        <v>294</v>
      </c>
      <c r="D9" s="39" t="s">
        <v>57</v>
      </c>
      <c r="E9" s="36" t="s">
        <v>39</v>
      </c>
      <c r="F9" s="38" t="s">
        <v>56</v>
      </c>
      <c r="G9" s="36" t="s">
        <v>39</v>
      </c>
      <c r="H9" s="36" t="s">
        <v>277</v>
      </c>
      <c r="I9" s="37" t="s">
        <v>295</v>
      </c>
      <c r="J9" s="37" t="s">
        <v>296</v>
      </c>
      <c r="K9" s="36" t="s">
        <v>297</v>
      </c>
      <c r="L9" s="36" t="s">
        <v>281</v>
      </c>
    </row>
    <row r="10" customFormat="false" ht="117.75" hidden="false" customHeight="true" outlineLevel="0" collapsed="false">
      <c r="A10" s="36" t="n">
        <v>56</v>
      </c>
      <c r="B10" s="37" t="s">
        <v>298</v>
      </c>
      <c r="C10" s="36" t="s">
        <v>299</v>
      </c>
      <c r="D10" s="39" t="s">
        <v>57</v>
      </c>
      <c r="E10" s="36" t="s">
        <v>39</v>
      </c>
      <c r="F10" s="38" t="s">
        <v>56</v>
      </c>
      <c r="G10" s="36" t="s">
        <v>38</v>
      </c>
      <c r="H10" s="36" t="s">
        <v>277</v>
      </c>
      <c r="I10" s="37" t="s">
        <v>300</v>
      </c>
      <c r="J10" s="37" t="s">
        <v>301</v>
      </c>
      <c r="K10" s="36" t="s">
        <v>302</v>
      </c>
      <c r="L10" s="36" t="s">
        <v>303</v>
      </c>
    </row>
    <row r="11" customFormat="false" ht="117.75" hidden="false" customHeight="true" outlineLevel="0" collapsed="false">
      <c r="A11" s="36" t="n">
        <v>80</v>
      </c>
      <c r="B11" s="37" t="s">
        <v>304</v>
      </c>
      <c r="C11" s="36" t="s">
        <v>305</v>
      </c>
      <c r="D11" s="39" t="s">
        <v>57</v>
      </c>
      <c r="E11" s="36" t="s">
        <v>39</v>
      </c>
      <c r="F11" s="38" t="s">
        <v>56</v>
      </c>
      <c r="G11" s="36" t="s">
        <v>39</v>
      </c>
      <c r="H11" s="36" t="s">
        <v>277</v>
      </c>
      <c r="I11" s="37" t="s">
        <v>306</v>
      </c>
      <c r="J11" s="37" t="s">
        <v>307</v>
      </c>
      <c r="K11" s="36" t="s">
        <v>308</v>
      </c>
      <c r="L11" s="36" t="s">
        <v>281</v>
      </c>
    </row>
    <row r="12" customFormat="false" ht="117.75" hidden="false" customHeight="true" outlineLevel="0" collapsed="false">
      <c r="A12" s="36" t="n">
        <v>81</v>
      </c>
      <c r="B12" s="37" t="s">
        <v>304</v>
      </c>
      <c r="C12" s="36" t="s">
        <v>309</v>
      </c>
      <c r="D12" s="39" t="s">
        <v>57</v>
      </c>
      <c r="E12" s="36" t="s">
        <v>39</v>
      </c>
      <c r="F12" s="38" t="s">
        <v>56</v>
      </c>
      <c r="G12" s="36" t="s">
        <v>39</v>
      </c>
      <c r="H12" s="36" t="s">
        <v>277</v>
      </c>
      <c r="I12" s="37" t="s">
        <v>310</v>
      </c>
      <c r="J12" s="37" t="s">
        <v>311</v>
      </c>
      <c r="K12" s="36" t="s">
        <v>308</v>
      </c>
      <c r="L12" s="36" t="s">
        <v>281</v>
      </c>
    </row>
    <row r="13" customFormat="false" ht="117.75" hidden="false" customHeight="true" outlineLevel="0" collapsed="false">
      <c r="A13" s="36" t="n">
        <v>85</v>
      </c>
      <c r="B13" s="37" t="s">
        <v>312</v>
      </c>
      <c r="C13" s="36" t="s">
        <v>313</v>
      </c>
      <c r="D13" s="39" t="s">
        <v>57</v>
      </c>
      <c r="E13" s="36" t="s">
        <v>39</v>
      </c>
      <c r="F13" s="38" t="s">
        <v>56</v>
      </c>
      <c r="G13" s="36" t="s">
        <v>38</v>
      </c>
      <c r="H13" s="36" t="s">
        <v>277</v>
      </c>
      <c r="I13" s="37" t="s">
        <v>314</v>
      </c>
      <c r="J13" s="37" t="s">
        <v>315</v>
      </c>
      <c r="K13" s="36" t="s">
        <v>316</v>
      </c>
      <c r="L13" s="36" t="s">
        <v>303</v>
      </c>
    </row>
    <row r="14" customFormat="false" ht="117.75" hidden="false" customHeight="true" outlineLevel="0" collapsed="false">
      <c r="A14" s="36" t="n">
        <v>100</v>
      </c>
      <c r="B14" s="37" t="s">
        <v>317</v>
      </c>
      <c r="C14" s="36" t="s">
        <v>318</v>
      </c>
      <c r="D14" s="39" t="s">
        <v>57</v>
      </c>
      <c r="E14" s="36" t="s">
        <v>39</v>
      </c>
      <c r="F14" s="38" t="s">
        <v>56</v>
      </c>
      <c r="G14" s="36" t="s">
        <v>39</v>
      </c>
      <c r="H14" s="36" t="s">
        <v>277</v>
      </c>
      <c r="I14" s="37" t="s">
        <v>319</v>
      </c>
      <c r="J14" s="37" t="s">
        <v>320</v>
      </c>
      <c r="K14" s="36" t="s">
        <v>321</v>
      </c>
      <c r="L14" s="36" t="s">
        <v>281</v>
      </c>
    </row>
    <row r="15" customFormat="false" ht="117.75" hidden="false" customHeight="true" outlineLevel="0" collapsed="false">
      <c r="A15" s="36" t="n">
        <v>117</v>
      </c>
      <c r="B15" s="37" t="s">
        <v>322</v>
      </c>
      <c r="C15" s="36" t="s">
        <v>323</v>
      </c>
      <c r="D15" s="39" t="s">
        <v>57</v>
      </c>
      <c r="E15" s="36" t="s">
        <v>38</v>
      </c>
      <c r="F15" s="38" t="s">
        <v>56</v>
      </c>
      <c r="G15" s="36" t="s">
        <v>39</v>
      </c>
      <c r="H15" s="36" t="s">
        <v>277</v>
      </c>
      <c r="I15" s="37" t="s">
        <v>324</v>
      </c>
      <c r="J15" s="37" t="s">
        <v>325</v>
      </c>
      <c r="K15" s="36" t="s">
        <v>286</v>
      </c>
      <c r="L15" s="41"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3" min="3" style="0" width="70"/>
    <col collapsed="false" customWidth="true" hidden="false" outlineLevel="0" max="4" min="4" style="0" width="7"/>
    <col collapsed="false" customWidth="true" hidden="false" outlineLevel="0" max="5" min="5" style="0" width="26"/>
  </cols>
  <sheetData>
    <row r="1" customFormat="false" ht="17.35" hidden="false" customHeight="false" outlineLevel="0" collapsed="false">
      <c r="A1" s="26" t="s">
        <v>326</v>
      </c>
    </row>
    <row r="2" customFormat="false" ht="15" hidden="false" customHeight="false" outlineLevel="0" collapsed="false">
      <c r="A2" s="33" t="s">
        <v>327</v>
      </c>
    </row>
    <row r="4" customFormat="false" ht="15" hidden="false" customHeight="false" outlineLevel="0" collapsed="false">
      <c r="A4" s="34" t="s">
        <v>328</v>
      </c>
      <c r="B4" s="34" t="s">
        <v>329</v>
      </c>
      <c r="C4" s="34" t="s">
        <v>330</v>
      </c>
      <c r="D4" s="34" t="s">
        <v>331</v>
      </c>
      <c r="E4" s="34" t="s">
        <v>332</v>
      </c>
    </row>
    <row r="5" customFormat="false" ht="78" hidden="false" customHeight="true" outlineLevel="0" collapsed="false">
      <c r="A5" s="42" t="s">
        <v>333</v>
      </c>
      <c r="B5" s="43" t="s">
        <v>334</v>
      </c>
      <c r="C5" s="37" t="s">
        <v>335</v>
      </c>
      <c r="D5" s="44" t="s">
        <v>336</v>
      </c>
      <c r="E5" s="37" t="s">
        <v>337</v>
      </c>
    </row>
    <row r="6" customFormat="false" ht="78" hidden="false" customHeight="true" outlineLevel="0" collapsed="false">
      <c r="A6" s="42" t="s">
        <v>338</v>
      </c>
      <c r="B6" s="43" t="s">
        <v>339</v>
      </c>
      <c r="C6" s="37" t="s">
        <v>340</v>
      </c>
      <c r="D6" s="44" t="s">
        <v>341</v>
      </c>
      <c r="E6" s="37" t="s">
        <v>342</v>
      </c>
    </row>
    <row r="7" customFormat="false" ht="78" hidden="false" customHeight="true" outlineLevel="0" collapsed="false">
      <c r="A7" s="42" t="s">
        <v>343</v>
      </c>
      <c r="B7" s="43" t="s">
        <v>344</v>
      </c>
      <c r="C7" s="37" t="s">
        <v>345</v>
      </c>
      <c r="D7" s="44" t="s">
        <v>346</v>
      </c>
      <c r="E7" s="37" t="s">
        <v>347</v>
      </c>
    </row>
    <row r="8" customFormat="false" ht="78" hidden="false" customHeight="true" outlineLevel="0" collapsed="false">
      <c r="A8" s="42" t="s">
        <v>348</v>
      </c>
      <c r="B8" s="43" t="s">
        <v>349</v>
      </c>
      <c r="C8" s="37" t="s">
        <v>350</v>
      </c>
      <c r="D8" s="44" t="s">
        <v>341</v>
      </c>
      <c r="E8" s="37" t="s">
        <v>351</v>
      </c>
    </row>
    <row r="9" customFormat="false" ht="78" hidden="false" customHeight="true" outlineLevel="0" collapsed="false">
      <c r="A9" s="42" t="s">
        <v>352</v>
      </c>
      <c r="B9" s="43" t="s">
        <v>353</v>
      </c>
      <c r="C9" s="37" t="s">
        <v>354</v>
      </c>
      <c r="D9" s="44" t="s">
        <v>355</v>
      </c>
      <c r="E9" s="37" t="s">
        <v>356</v>
      </c>
    </row>
    <row r="11" customFormat="false" ht="57.75" hidden="false" customHeight="true" outlineLevel="0" collapsed="false">
      <c r="A11" s="45" t="s">
        <v>357</v>
      </c>
      <c r="B11" s="45"/>
      <c r="C11" s="45"/>
      <c r="D11" s="45"/>
      <c r="E11" s="45"/>
    </row>
  </sheetData>
  <mergeCells count="1">
    <mergeCell ref="A11:E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2026-06-03T12:14:12Z</dcterms:created>
  <dc:creator>openpyxl</dc:creator>
  <dc:description/>
  <dc:language>en-US</dc:language>
  <cp:lastModifiedBy/>
  <dcterms:modified xsi:type="dcterms:W3CDTF">2026-06-03T12:16:05Z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