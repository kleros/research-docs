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Verdicts" sheetId="2" state="visible" r:id="rId4"/>
  </sheets>
  <definedNames>
    <definedName function="false" hidden="true" localSheetId="1" name="_xlnm._FilterDatabase" vbProcedure="false">Verdicts!$A$3:$N$3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<sst xmlns="http://schemas.openxmlformats.org/spreadsheetml/2006/main" count="1332" uniqueCount="974">
  <si>
    <t xml:space="preserve">Kleros “Lemon” Disputes — Verdict Summary</t>
  </si>
  <si>
    <t xml:space="preserve">OUTCOME</t>
  </si>
  <si>
    <t xml:space="preserve">Cases</t>
  </si>
  <si>
    <t xml:space="preserve">Rule for Lemon</t>
  </si>
  <si>
    <t xml:space="preserve">Rule for the User</t>
  </si>
  <si>
    <t xml:space="preserve">Refuse to Arbitrate</t>
  </si>
  <si>
    <t xml:space="preserve">TOTAL</t>
  </si>
  <si>
    <t xml:space="preserve">CONFIDENCE</t>
  </si>
  <si>
    <t xml:space="preserve">High</t>
  </si>
  <si>
    <t xml:space="preserve">Medium</t>
  </si>
  <si>
    <t xml:space="preserve">Low</t>
  </si>
  <si>
    <t xml:space="preserve">DISPUTE CATEGORY</t>
  </si>
  <si>
    <t xml:space="preserve">Scam / third-party fraud</t>
  </si>
  <si>
    <t xml:space="preserve">Promotion / cashback / referral</t>
  </si>
  <si>
    <t xml:space="preserve">Commission / fee / valuation</t>
  </si>
  <si>
    <t xml:space="preserve">Unauthorized / disputed card charge</t>
  </si>
  <si>
    <t xml:space="preserve">Unlisted token / wrong network (crypto)</t>
  </si>
  <si>
    <t xml:space="preserve">Wrong address/alias transfer (user error)</t>
  </si>
  <si>
    <t xml:space="preserve">Transfer/deposit not credited</t>
  </si>
  <si>
    <t xml:space="preserve">Other</t>
  </si>
  <si>
    <t xml:space="preserve">User wins (5):  cases 4, 10, 28, 53, 54</t>
  </si>
  <si>
    <t xml:space="preserve">•  All 5 user wins turn on a Lemon-side failure: a promo/communication that omitted a material limit or contradicted support (10, 28, 53, 54) or an unconditional recovery promise Lemon then retracted (28).</t>
  </si>
  <si>
    <t xml:space="preserve">•  The 94 Lemon outcomes are user-authorised irreversible transfers, third-party scams, wrong-network/unlisted-token sends, clearly-disclosed fees, or claims with no material evidence — no Lemon breach of the policy principles.</t>
  </si>
  <si>
    <t xml:space="preserve">•  Confidence = juror's certainty, not case importance. 31 Medium cases are the closer calls; genuine coin-flips were flagged (e.g. 9, 25, 56, 65, 103, 113).</t>
  </si>
  <si>
    <t xml:space="preserve">•  Verdicts independently re-decided on a blind 24-case sample: 23/24 matched; case 65 (the one split) was adjudicated to Rule for Lemon. 0 Refuse-to-Arbitrate triggers arose.</t>
  </si>
  <si>
    <t xml:space="preserve">•  Burden: default = Lemon's action stands; the user must show a policy violation on the balance of evidence, with genuine ambiguity resolved pro consumidor.</t>
  </si>
  <si>
    <t xml:space="preserve">•  Justifications here are in English for review; on-chain submission under the Justificaciones Lemon rules would require a Spanish version.</t>
  </si>
  <si>
    <t xml:space="preserve">Kleros “Lemon” Disputes — Juror Verdicts</t>
  </si>
  <si>
    <t xml:space="preserve">Court: Blockchain No Técnica (consumer protection) · Provider: Lemon Cash · 99 cases · Policy: Política de Interpretación de Disputas · Options: Rule for the User / Rule for Lemon / Refuse to Arbitrate</t>
  </si>
  <si>
    <t xml:space="preserve">Case</t>
  </si>
  <si>
    <t xml:space="preserve">Party / ID</t>
  </si>
  <si>
    <t xml:space="preserve">Dispute Type</t>
  </si>
  <si>
    <t xml:space="preserve">Category</t>
  </si>
  <si>
    <t xml:space="preserve">User's Claim</t>
  </si>
  <si>
    <t xml:space="preserve">Lemon's Position</t>
  </si>
  <si>
    <t xml:space="preserve">Policy Principles</t>
  </si>
  <si>
    <t xml:space="preserve">Burden of Proof</t>
  </si>
  <si>
    <t xml:space="preserve">Key Evidence</t>
  </si>
  <si>
    <t xml:space="preserve">Source Verification</t>
  </si>
  <si>
    <t xml:space="preserve">Juror Reasoning (Application)</t>
  </si>
  <si>
    <t xml:space="preserve">VERDICT</t>
  </si>
  <si>
    <t xml:space="preserve">Confidence</t>
  </si>
  <si>
    <t xml:space="preserve">Justification (English, on-chain)</t>
  </si>
  <si>
    <t xml:space="preserve">Pilar Flores Levalle (DNI 43994317); User ID 1072423; theft 2 Jun 2023 ~17:00</t>
  </si>
  <si>
    <t xml:space="preserve">Unauthorized transaction (device theft)</t>
  </si>
  <si>
    <t xml:space="preserve">Her phone was stolen and ~30-40 min later thieves entered her Lemon account, converted 218 USD to ARS (≈104,781) and transferred it to an identifiable third-party CVU/CUIL she never authorised.</t>
  </si>
  <si>
    <t xml:space="preserve">No vulnerability in Lemon's security elements; the fraudster logged in with valid credentials (~3-day gap vs the 5-min inactivity timeout) so the intrusion is attributable to post-theft phishing/social engineering, not Lemon.</t>
  </si>
  <si>
    <t xml:space="preserve">Proteccion; In dubio pro consumidor; Buena Fe; Informacion</t>
  </si>
  <si>
    <t xml:space="preserve">User (claimant seeking reversal); balance of evidence — but genuine ambiguity in Lemon's failure theory resolves pro consumidor.</t>
  </si>
  <si>
    <t xml:space="preserve">Police report (Art. 164 Robo, actuaciones 3081335/2023) naming the beneficiary CVU/CUIL (primary, unrebutted); Lemon's own login table showing the fraudulent 2/6 17:39 login came from the SAME device ID as the genuine 29/5 22:47 login (primary; not rebutted, in fact corroborates the device-theft narrative).</t>
  </si>
  <si>
    <t xml:space="preserve">Verified login table on Descargo LEMON caso 4.assets/page_0003.jpeg — both rows share Device ID 9FE8743C-F3D5-492B-B762-E4EA30BCA1F9 and IP 181.165.62.111; login_times 2/6/2023 17:39 and 29/5/2023 22:47. Withdrawal event 2/6 20:38 UTC (=17:38 local) per page_0004. No md-vs-image discrepancy.</t>
  </si>
  <si>
    <t xml:space="preserve">The dispute-type test distinguishes a Lemon-side/unauthorised execution (→ user) from the user socially-engineering herself into sending funds to a scammer (→ Lemon). Lemon's own evidence shows the fraudulent login came from the user's physical stolen device only ~39 minutes after a documented street robbery, and the funds went to an identifiable named account wholly inconsistent with her history — i.e. an unauthorised transfer effected through a compromised stolen device, not a transfer the user herself initiated to a third party. Lemon's "must have been phished" theory is speculative and unproven, and its only documentary support (the device-ID/timestamp table) actually confirms access from the stolen handset. Under Proteccion and in dubio pro consumidor, the unproven phishing theory does not discharge the doubt against the consumer.</t>
  </si>
  <si>
    <t xml:space="preserve">Applying Proteccion and In dubio pro consumidor, the panel should resolve the genuine doubt in the consumer's favour. The decisive evidence is Lemon's own login record (verified against page_0003.jpeg): the transaction-side login at 2/6 17:39 was made from the identical Device ID as the user's prior genuine session, i.e. her physically stolen phone, roughly 39 minutes after a street robbery she reported to police (actuaciones 3081335/2023, Art. 164). The funds were converted from USD to ARS and pushed to a named, identifiable CVU/CUIL — conduct inconsistent with the user's established pattern of never transferring such sums to accounts not in her name.
Lemon's defence rests on the inference that, because the app times out after 5 minutes and the prior genuine login was ~3 days earlier, the intruder must have obtained credentials by phishing and therefore the loss is not attributable to Lemon. That inference is speculative; nothing in the record evidences any phishing event, and the same table Lemon relies on shows the access came from the stolen device itself, which is the ordinary mechanism of a device-theft compromise rather than the user voluntarily sending funds to a scammer. This is the (i) unauthorised-execution scenario in the dispute-type orientation, not the (ii) self-authorised social-engineering scenario.
On the balance of evidence, with the unrebutted police report and Lemon's own corroborating device data, and with Lemon's exculpatory theory unproven, the doubt is genuine and resolves pro consumidor. I vote to Rule for the User.</t>
  </si>
  <si>
    <t xml:space="preserve">Card dispute — Tinder charge 3,525.15 ARS, 27 Apr 2023 01:39 (VISA *4453)</t>
  </si>
  <si>
    <t xml:space="preserve">Commission/fee — disputed card charge (unrecognised consumption)</t>
  </si>
  <si>
    <t xml:space="preserve">An unknown Tinder charge appeared at 01:39 when she was asleep and not using the card; she has a Tinder account she has not used in months and the card is not saved anywhere.</t>
  </si>
  <si>
    <t xml:space="preserve">The charge entered as DEBITO AUTOMATICO (recurring auto-debit), indicating the user had previously registered the card; she confirmed she holds the card; no later rejected attempts at other merchants; normal activity continued 27-28 Apr — so this is a forgotten subscription, not fraud.</t>
  </si>
  <si>
    <t xml:space="preserve">Buena Fe; Informacion; Proteccion (assessed and not engaged on these facts)</t>
  </si>
  <si>
    <t xml:space="preserve">User (claimant) must show an unauthorised/fraudulent charge more likely than not; default = Lemon's denial stands.</t>
  </si>
  <si>
    <t xml:space="preserve">Crediware back-office table (primary) showing the 27/04 01:39 Tinder line as plan "DEBITO AUTOMATICO", APROBADA; later 29/04 rejections at a kiosco are tarjeta-en-estado-invalido after the user's own claim; not rebutted by the user.</t>
  </si>
  <si>
    <t xml:space="preserve">Verified Crediware table on Descargo LEMON caso 5.assets/page_0003.jpeg — bottom row 27/04/2023 01:39:14, importe 1991.61, Plan = "DEBITO AUTOMATICO", Comercio "Tinder Tinder US", APROBADA, Modo Entrada 01. No discrepancy with the md.</t>
  </si>
  <si>
    <t xml:space="preserve">A recurring auto-debit on a card whose holder admits owning a (dormant) Tinder account points to a subscription auto-renewal, not third-party fraud; the DEBITO AUTOMATICO flag means card data was registered with the merchant at some prior point. There is no evidence of card theft (the user confirms she holds the card) and no pattern of fraudulent testing at other merchants. The user offers only her assertion of non-use; under the burden of proof that does not outweigh Lemon's documented transaction record. Lemon disclosed the charge via notification and its security tools (card pause, limits) were available.</t>
  </si>
  <si>
    <t xml:space="preserve">The user is the claimant and must show, on the balance of evidence, that the Tinder charge was unauthorised. Lemon's primary record (Crediware, verified against page_0003.jpeg) shows the 27/04 01:39 charge entered as DEBITO AUTOMATICO — a recurring auto-debit — for a Tinder subscription, on a card whose holder admits having a Tinder account she "hasn't used in months." The auto-debit modality means the card was at some point registered with the merchant; combined with the absence of any rejected testing at other merchants and the user's own confirmation that she still holds the card, the evidence is consistent with a forgotten subscription rather than fraud.
No principle of Informacion or Transparencia is breached: the charge generated an app notification and Lemon offered card-pause and limit controls. There is no genuine ambiguity in any communication to trigger in dubio pro consumidor; the dispute is purely evidentiary. The user's bare assertion of non-use, against Lemon's documentary record, does not discharge her burden. I vote to Rule for Lemon.</t>
  </si>
  <si>
    <t xml:space="preserve">Delisting of LUNC / USTC; auto-conversion 1 Jun</t>
  </si>
  <si>
    <t xml:space="preserve">Other (token delisting / forced conversion)</t>
  </si>
  <si>
    <t xml:space="preserve">Lemon delisted LUNC (≈15,000 units) and USTC and auto-converted them (LUNC→USDC ≈1 USD; USTC→ARS), depriving him of potential future upside; he wants the tokens restored, sent to an external wallet, or held in a "safe box".</t>
  </si>
  <si>
    <t xml:space="preserve">T&amp;C 3.1 reserves the right to stop supporting any cryptoasset at its sole discretion; the user was emailed in advance, and withdrawal was impossible because the balance did not cover the network withdrawal fee, so the value was converted.</t>
  </si>
  <si>
    <t xml:space="preserve">Informacion; Transparencia; Buena Fe</t>
  </si>
  <si>
    <t xml:space="preserve">User (claimant) must show a violation; default = Lemon's action stands.</t>
  </si>
  <si>
    <t xml:space="preserve">The user's own exhibit — the Lemon email clearly announcing the 1 Jun delisting, the LUNC→USDC and USTC→ARS auto-conversions, and that withdrawal was not possible because the balance did not cover the network fee (primary; unrebutted); T&amp;C 3.1.</t>
  </si>
  <si>
    <t xml:space="preserve">Verified the email on Descargo USUARIO caso 6.assets/page_0002.jpeg — text matches the md verbatim (delisting from 1 Jun; LUNC auto-exchange to USDC; USTC auto-exchange to ARS as below USDC min unit; no withdrawal because balance below the fee). No discrepancy.</t>
  </si>
  <si>
    <t xml:space="preserve">Informacion and Transparencia were satisfied: Lemon gave clear, complete, advance written notice of the change, the conversion mechanics, and the reason withdrawal was unavailable. T&amp;C 3.1 is a standard discretionary-delisting clause that does not bury or contradict a material consumer protection — it is consistent with the principles and is matched by the headline communication. The user simply seeks speculative future gains on a sub-USD token; that is not a protected interest the policy grants. No bad faith is shown.</t>
  </si>
  <si>
    <t xml:space="preserve">The governing principles of Informacion and Transparencia require clear, truthful, complete and advance information — which Lemon provided. The user's own evidence is the Lemon email (verified against page_0002.jpeg) announcing the 1 June delisting of LUNC and USTC, the automatic conversions (LUNC→USDC; USTC→ARS), and the explicit reason that the balances were too small to cover the network withdrawal fee. Nothing was hidden or misleading.
T&amp;C 3.1, cited by Lemon, expressly reserves discretion to cease supporting any cryptoasset and disclaims any obligation to add or retain tokens. This is a routine clause that aligns with — rather than contradicts — the policy's principles, and it was reinforced by the clear advance email, so it is not a buried material limit of the kind that would trigger in dubio pro consumidor. The user's wish to retain a near-worthless token for hypothetical future appreciation is not a right the policy confers. I vote to Rule for Lemon.</t>
  </si>
  <si>
    <t xml:space="preserve">Wrong-network deposit — 250 USDC on Optimism (unsupported)</t>
  </si>
  <si>
    <t xml:space="preserve">Scam/3rd-party — user error (unsupported network deposit)</t>
  </si>
  <si>
    <t xml:space="preserve">He accidentally sent 250 USDC on the Optimism network; industry custom is to refund such deposits, and Lemon "has access" to the funds (alleged flow Usuario → Lemon address → Binance), so refusing is bad faith.</t>
  </si>
  <si>
    <t xml:space="preserve">Its crypto-deposit provider does not support Optimism for USDC; the on-chain movements shown are internal to the provider; Lemon does not hold the funds; without obligation (per T&amp;C) it is working with the provider to try to recover such deposits.</t>
  </si>
  <si>
    <t xml:space="preserve">Buena Fe; Informacion; Proteccion (assessed); In dubio pro consumidor (assessed, not triggered)</t>
  </si>
  <si>
    <t xml:space="preserve">User (claimant) must show a Lemon violation / that Lemon holds the funds; default = Lemon's position stands.</t>
  </si>
  <si>
    <t xml:space="preserve">User's block-explorer screenshots (secondary) with all addresses/hashes truncated to "0x" — they do NOT establish that any Lemon-controlled address received or controls the funds; the "Lemon→Binance" labels are the user's own annotation, not verified data.</t>
  </si>
  <si>
    <t xml:space="preserve">Verified the explorer screenshots on Descargo USUARIO caso 7.assets/page_0002.jpeg — every From/To and Txn Hash field renders only as truncated "0x"; no Lemon or Binance address is legible. The user's diagram annotation is unsupported by the underlying data.</t>
  </si>
  <si>
    <t xml:space="preserve">The user concedes the T&amp;C warn that funds sent to unsupported networks may be unrecoverable, so the information duty was met and there is no ambiguity to resolve pro consumidor. The loss stems from the user's own authorised act of sending to an unsupported network. His claim that Lemon "has access" is unproven — the explorer images show only truncated addresses and cannot link the funds to Lemon. An appeal to "industry custom" cannot override the disclosed terms and is not part of the governing policy. No bad faith is demonstrated.</t>
  </si>
  <si>
    <t xml:space="preserve">The user bears the burden of showing a policy violation, and his core factual premise — that Lemon controls or can access the 250 USDC — is unproven. His block-explorer exhibits (verified against page_0002.jpeg) display only truncated "0x" address and hash fields; the "Usuario → Dirección de Lemon → Dirección de Binance" flow is his own caption, not data the explorer corroborates. Under the burden of proof, an unproven access claim cannot ground relief.
On Informacion and Buena Fe, the user himself acknowledges the T&amp;C disclose that transfers to unsupported networks may be irrecoverable, so the risk was disclosed and there is no genuine ambiguity to trigger in dubio pro consumidor. The loss arises from the user's own authorised action of selecting an unsupported network (Optimism for USDC). Lemon's representation that the funds sit with its provider, not with Lemon, is unrebutted and consistent with the user's own evidence. The invocation of "industry custom" is not part of the governing policy and cannot displace the disclosed terms. I vote to Rule for Lemon.</t>
  </si>
  <si>
    <t xml:space="preserve">ETH transfer ~0.0387 ETH ($72.68) to 0x74...8dfe on Optimism, 28 Jul 2023</t>
  </si>
  <si>
    <t xml:space="preserve">Scam/3rd-party — wrong-network / disputed crypto credit (user error)</t>
  </si>
  <si>
    <t xml:space="preserve">Lemon does not recognise ETH he sent from another platform, and he wants the funds credited because he made the transfer correctly.</t>
  </si>
  <si>
    <t xml:space="preserve">The descargo (generically) states the deposit came via Optimism (unsupported), the movements are internal to the provider, and Lemon does not hold the funds.</t>
  </si>
  <si>
    <t xml:space="preserve">Buena Fe; Informacion; In dubio pro consumidor (assessed)</t>
  </si>
  <si>
    <t xml:space="preserve">User (claimant) must show a Lemon-side failure; default = Lemon's position stands.</t>
  </si>
  <si>
    <t xml:space="preserve">User's own exhibits — a Lemon app "Retiro de Ethereum" -$72.68 to 0x74...8dfe marked "Completado", and an Optimism Etherscan Transfer (Status Success) of value 38739203839560908 (≈0.0387 ETH) to the SAME address 0x74...8dfe (primary). Both show a completed transfer to the user's external address, not a Lemon-side failure.</t>
  </si>
  <si>
    <t xml:space="preserve">Verified addresses across Descargo USUARIO caso 8.assets/page_0004.jpeg (Transfer _to = 0x74da4a503d38ecc86570334cef130115332a8dfe, _value 38739203839560908, Topic0 = Transfer sig) and page_0006.jpeg (Lemon "Retiro de Ethereum" -$72.68 to 0x74...8dfe, Completado, $0 cost). Destination address matches; on-chain Status = Success. No discrepancy.</t>
  </si>
  <si>
    <t xml:space="preserve">The user's strongest exhibit is a Lemon withdrawal screen marked Completado to his external address 0x74...8dfe, and the matching on-chain record confirms that transfer succeeded — so the funds reached the destination and there is nothing un-credited attributable to a Lemon failure. The descargo is somewhat generic (it references USDC where the asset is ETH), but the user carries the burden and his own primary evidence shows a successful transfer. On the alternative reading (a deposit via the unsupported Optimism network), the loss is the user's own action, as in Case 7. Either reading favours Lemon, and no info/transparency breach or genuine ambiguity in Lemon's communications is shown.</t>
  </si>
  <si>
    <t xml:space="preserve">The user must show a Lemon-side failure more likely than not. His own primary evidence (verified against page_0004.jpeg and page_0006.jpeg) shows a Lemon "Retiro de Ethereum" of $72.68 to his external address 0x74...8dfe marked Completado, and an Optimism Etherscan Transfer of the same ≈0.0387 ETH to that identical address with Status Success. The funds therefore reached their destination; there is no un-credited balance demonstrably held by Lemon.
Lemon's descargo is generic and imprecise (it cites USDC although the asset here is ETH), but imprecision by a party is not decisive and the burden rests on the claimant. On any available reading of the materials — a successful withdrawal the user actually received, or a deposit routed through the unsupported Optimism network (the same user-error scenario as Case 7) — the outcome favours Lemon, and the user has not identified any breach of Informacion, Transparencia or Buena Fe, nor any genuine ambiguity to resolve pro consumidor. I vote to Rule for Lemon.</t>
  </si>
  <si>
    <t xml:space="preserve">$piglesias (Pablo); promo "Pago de Servicios" 50% reintegro; descargo 23/10/2023</t>
  </si>
  <si>
    <t xml:space="preserve">Promo cap / condition (reintegro)</t>
  </si>
  <si>
    <t xml:space="preserve">The promo said you could pay "con crypto o pesos", so paying his 3 invoices with pesos should have earned the 50% reintegro; relegating the USDC condition to the fine print is deceptive.</t>
  </si>
  <si>
    <t xml:space="preserve">The headline communication clearly states the reintegro applies to "las 3 primeras facturas que pagues con USDC"; the user paid with pesos; the claimed 180 USD also exceeds the AR$1000-per-invoice cap.</t>
  </si>
  <si>
    <t xml:space="preserve">Transparencia; Informacion; In dubio pro consumidor (assessed, not triggered); Buena Fe</t>
  </si>
  <si>
    <t xml:space="preserve">User (claimant) must show misleading/incomplete public-facing communication; genuine ambiguity would resolve pro consumidor.</t>
  </si>
  <si>
    <t xml:space="preserve">The promo banner image, identical in both parties' exhibits, stating the 50% reintegro condition "con USDC" in the same headline sentence (primary; unrebutted); support chat where the agent consistently explains the USDC requirement.</t>
  </si>
  <si>
    <t xml:space="preserve">Verified the promo banner on Descargo USUARIO Caso 9 .assets/page_0001.jpeg AND Descargo LEMON caso 9.assets/page_0001.jpeg — both read "...te reintegramos el 50% de las 3 primeras facturas que pagues con USDC hasta el 13/10... Tope de reintegro: AR$1000 por factura. Aplican TyC." The "con USDC" condition is in the headline banner, not only the T&amp;C. No discrepancy.</t>
  </si>
  <si>
    <t xml:space="preserve">Under Transparencia/Informacion the test is whether the public-facing ad clearly stated the qualifying condition. It did: the same banner that promises the 50% expressly conditions it on paying "con USDC." The "crypto o pesos" phrase describes the general bill-payment capability, while the reintegro clause immediately narrows the benefit to USDC payments — both in the headline. This tracks the policy's calibration example 148 (explicit terms; user misread), not 147 (limit hidden only in T&amp;C). The narrow tension from "pesos" does not rise to genuine ambiguity because the qualifying condition is stated prominently in the same sentence. The 180 USD claim also exceeds the disclosed AR$1000/invoice cap.</t>
  </si>
  <si>
    <t xml:space="preserve">The dispositive question under Transparencia and Informacion is whether the headline communication disclosed the qualifying condition. The promo banner — identical in both parties' exhibits and verified against page_0001.jpeg in each — states in the same sentence as the 50% offer that the reintegro applies to "las 3 primeras facturas que pagues con USDC." The "crypto o pesos" wording describes the general ability to pay bills; the benefit itself is expressly conditioned on USDC, in the headline, not buried in the T&amp;C.
This is the policy's calibration example 148 (clearly stipulated terms; the user misread), not example 147 (a material limit hidden only in the T&amp;C). Because the qualifying condition appears prominently in the public-facing ad, the residual tension created by the word "pesos" does not amount to the genuine ambiguity required to invoke in dubio pro consumidor. Lemon additionally notes the 180 USD claimed exceeds the disclosed AR$1000-per-invoice cap. No deceptive practice or bad faith is established. I vote to Rule for Lemon.</t>
  </si>
  <si>
    <t xml:space="preserve">$angeljesusdiluca (Angel); promo "Pago de Servicios" 50% reintegro; descargo 20/10/2023</t>
  </si>
  <si>
    <t xml:space="preserve">Promo cap (reintegro) — undisclosed invoice-count limit</t>
  </si>
  <si>
    <t xml:space="preserve">He paid 4 invoices but was reimbursed for only 3; the ad stated a per-invoice cap (AR$1000) but never any limit on the NUMBER of invoices, so the 3-invoice cap was hidden in the T&amp;C.</t>
  </si>
  <si>
    <t xml:space="preserve">T&amp;C 2 ("Procedimiento para validar la promoción") clearly limits the benefit to 3 invoices per user; Lemon paid up to that limit correctly.</t>
  </si>
  <si>
    <t xml:space="preserve">Transparencia; Informacion; In dubio pro consumidor; Proteccion</t>
  </si>
  <si>
    <t xml:space="preserve">User (claimant) must show the ad omitted a material limit; genuine ambiguity / buried material term resolves pro consumidor.</t>
  </si>
  <si>
    <t xml:space="preserve">The in-app promo banner (primary) reading "Por cada factura que pagues con USDC... te reintegramos el 50%... Tope de reintegro: AR$1000 por factura" with NO invoice-count limit; plus the support chat in which Lemon's agent admits "De nuestro lado no fue la intención, pero lo tenemos en cuenta para ser más claros en futuras promociones" (admission; unrebutted).</t>
  </si>
  <si>
    <t xml:space="preserve">Verified the promo banner on Descargo USUARIO Caso 10.assets/page_0002.jpeg ("Por cada factura que pagues con USDC hasta el 13/10 te reintegramos el 50% del monto... Tope de reintegro: AR$1000 por factura" — no 3-invoice limit) and the chat on page_0004.jpeg (agent: "tope de $1000 ARS y de 3 facturas por usuario"; user: "porque no decía eso la captura que te mandé"; agent admission of lack of clarity). No discrepancy.</t>
  </si>
  <si>
    <t xml:space="preserve">The headline ad disclosed only a per-invoice cap and used "Por cada factura," which a reasonable consumer reads as applying to every invoice; the 3-invoice limit appears only in T&amp;C 2. That is exactly the policy's calibration example 147 — a material cap shown only in the T&amp;C, not in the headline → Rule for the User on Transparencia/Informacion and in dubio pro consumidor. The conclusion is reinforced by Lemon's own support admission that the ad was not clear. Under Proteccion, the consumer should not bear the cost of the provider's incomplete public communication.</t>
  </si>
  <si>
    <t xml:space="preserve">This case is the policy's worked example 147 on its facts. The public-facing banner (verified against page_0002.jpeg) promised "Por cada factura que pagues con USDC... te reintegramos el 50%" and disclosed only a per-invoice cap of AR$1000 — it stated no limit on the number of invoices. The 3-invoice-per-user cap on which Lemon relies exists only in T&amp;C clause 2. Under Transparencia and Informacion, a material limit buried in the T&amp;C while the headline implies the benefit applies to every invoice is a deceptive/incomplete communication, and the doubt resolves pro consumidor.
The conclusion is reinforced by Lemon's own support exhibit (verified against page_0004.jpeg), in which the agent concedes "De nuestro lado no fue la intención, pero lo tenemos en cuenta para ser más claros en futuras promociones" — an acknowledgment that the advertisement lacked clarity. Consistent with Proteccion, the consumer who reasonably relied on the headline should receive the reintegro for the fourth invoice (subject to the disclosed AR$1000/invoice cap). I vote to Rule for the User.</t>
  </si>
  <si>
    <t xml:space="preserve">andresquiroga8 (Andres); disputed charge Dlocal*Hostinger 15,493.67 ARS, 6 Oct 2023 (VISA *7408)</t>
  </si>
  <si>
    <t xml:space="preserve">Commission/fee — disputed card charge (chargeback denied)</t>
  </si>
  <si>
    <t xml:space="preserve">A 15,500 ARS Hostinger debit was unauthorised; both Hostinger and dLocal deny the transaction and refer him to his bank; Lemon declined the chargeback without adequate justification.</t>
  </si>
  <si>
    <t xml:space="preserve">The user has prior consumptions at the disputed merchant, there were no subsequent rejections, and the BTC cashback from this same purchase was converted by the user the same day — behaviour of a legitimate account holder with no sign of unauthorised access; chargeback conditions not met.</t>
  </si>
  <si>
    <t xml:space="preserve">Buena Fe; Informacion; Proteccion (assessed)</t>
  </si>
  <si>
    <t xml:space="preserve">User (claimant) must show the charge was unauthorised / a Lemon failure; default = Lemon's chargeback denial stands.</t>
  </si>
  <si>
    <t xml:space="preserve">User's exhibits — Lemon transaction detail and dLocal/Hostinger emails stating "no existe ninguna transacción en dLocal asociada con ese pago... verificar con el banco" (secondary; standard processor deflection, not proof of fraud). Lemon's descargo is a bare assertion (no exhibit) of prior merchant history and same-day cashback conversion (unrebutted).</t>
  </si>
  <si>
    <t xml:space="preserve">Verified Descargo USUARIO Caso 11.assets/page_0002.jpeg (charge 15,493.67 ARS, Dlocal*Hostinger Com, 06/10/2023, VISA *7408; dLocal/Hostinger "no transaction on our side, contact your bank") and Descargo LEMON caso 11.assets/page_0001.jpeg (descargo is text-only, asserting prior consumptions and same-day cashback conversion). No decisive md-vs-image discrepancy; noted Lemon supplied no documentary exhibit.</t>
  </si>
  <si>
    <t xml:space="preserve">The user bears the burden. The dLocal/Hostinger denials are a routine "no record on our side / contact your bank" response and do not establish fraud — payment processors commonly route via intermediaries under different references. Lemon's specific, unrebutted assertions — that the user had prior purchases at this same merchant (Hostinger is a subscription hosting service) and that the user himself converted the purchase's BTC cashback the same day — indicate account control and an existing merchant relationship, not a third-party hijack. The user never denies a Hostinger relationship. There is no evidence Lemon executed an unauthorised transaction or breached an info/transparency duty.</t>
  </si>
  <si>
    <t xml:space="preserve">The user is the claimant seeking to reverse Lemon's chargeback denial and must show, on the balance of evidence, that the Hostinger charge was unauthorised. His evidence does not do so: the dLocal and Hostinger emails (verified against page_0002.jpeg) merely state that no transaction is recorded on their systems and refer him to his bank — a standard processor deflection consistent with routing through an intermediary, not proof of fraud against Lemon.
Lemon's descargo, though thin and unsupported by an exhibit, makes specific factual assertions that the user has not rebutted: that he had prior consumptions at the same merchant and that he himself converted the BTC cashback from this very purchase on the same day. Under the principle that unrebutted submissions are presumed genuine, and given that Hostinger is a recurring subscription service and the same-day cashback conversion evidences the user's own account control, the loss is not shown to stem from any Lemon-side failure or breach of Informacion/Transparencia. I vote to Rule for Lemon.</t>
  </si>
  <si>
    <t xml:space="preserve">owner_id 1,025,399; disputed charges Merpago*Ticketpass ~40,000 ARS, 13 Oct 2023 (VISA *2494)</t>
  </si>
  <si>
    <t xml:space="preserve">Unauthorized transaction (lost card) — disputed card charges</t>
  </si>
  <si>
    <t xml:space="preserve">He lost his card; while lost it was used fraudulently for ~40,000 ARS; he could not block it promptly (dead phone, face-ID failures from another device); his last legitimate transaction is documented and everything after it is fraudulent.</t>
  </si>
  <si>
    <t xml:space="preserve">Beyond the 3 disputed transactions, the same account operated with the SAME merchant 11 other times — 10 before and 1 AFTER the dispute report (28/10/2023) — which is inconsistent with third-party fraud.</t>
  </si>
  <si>
    <t xml:space="preserve">Buena Fe; Proteccion (assessed); Informacion</t>
  </si>
  <si>
    <t xml:space="preserve">User (claimant) must show the disputed charges were unauthorised; default = Lemon's denial stands.</t>
  </si>
  <si>
    <t xml:space="preserve">Lemon's back-office table (primary) showing 14 MERPAGO*TICKETPASS transactions under one owner_id (1,025,399), spanning 24/6, 1/7, 2/9 and 13/10/2023, plus a COMPLETED transaction on 28/10/2023 AFTER the report; not rebutted.</t>
  </si>
  <si>
    <t xml:space="preserve">Verified Descargo LEMON caso 12.assets/page_0001.jpeg, including a zoom of the top rows: top row owner_id 1,025,399, amount 3,500, created_at 28/10/2023 04:01, MERPAGO*TICKETPASS, COMPLETED (post-report), above the four 13/10 disputed rows and the June/July/September history. md matches image.</t>
  </si>
  <si>
    <t xml:space="preserve">A genuinely stolen card driven by a third party would not show the user's own account continuing to transact with the identical merchant after the fraud report. The back-office record shows a months-long relationship with Ticketpass (an events/ticketing platform) and, decisively, a completed transaction on 28/10 by the same account after the disputed window. This points to retained account/card control and an established merchant relationship rather than third-party fraud. Lemon's documented evidence outweighs the user's bare narrative; his account of a dead phone and face-ID delays does not explain the post-report transaction.</t>
  </si>
  <si>
    <t xml:space="preserve">The user bears the burden of showing the disputed Ticketpass charges were unauthorised. Lemon's primary back-office record (verified against page_0001.jpeg, including a zoom of the upper rows) shows fourteen transactions at the same merchant under the single owner_id 1,025,399, with an established history across June, July and September 2023 and — decisively — a COMPLETED transaction on 28/10/2023, after the user reported the card lost and the charges fraudulent.
A third-party fraudster operating a stolen card would not produce continued, completed activity by the user's own account at the same merchant after the report. The pattern instead evidences retained card/account control and a genuine recurring relationship with Ticketpass. The user's narrative of a dead phone and delayed face-ID access does not explain the post-report transaction, and his bare assertion does not outweigh Lemon's documented record. No breach of Informacion or Proteccion attributable to Lemon is shown. I vote to Rule for Lemon.</t>
  </si>
  <si>
    <t xml:space="preserve">Fede; promo "Pago de Servicios" 50% reintegro; chat 2 Oct 2023</t>
  </si>
  <si>
    <t xml:space="preserve">The offer lacked precise information; the requirement to pay in another currency (USDC) was not specified in the offer and he learned of it only after acting; Argentine law (CCC art. 765) lets him pay in pesos; he claims 9,000 plus moral damages.</t>
  </si>
  <si>
    <t xml:space="preserve">The promo screenshot unequivocally shows the reintegro required paying invoices with USDC; there is a clear AR$1000-per-invoice cap; the 9,000 claim is unjustified.</t>
  </si>
  <si>
    <t xml:space="preserve">Informacion; Transparencia; In dubio pro consumidor (assessed, not triggered); Buena Fe</t>
  </si>
  <si>
    <t xml:space="preserve">User (claimant) must show misleading/incomplete public-facing communication; genuine ambiguity resolves pro consumidor.</t>
  </si>
  <si>
    <t xml:space="preserve">The promo banner (primary), same wording as Case 9, conditioning the 50% on "las 3 primeras facturas que pagues con USDC"; the user's own Vero chat (primary) which discusses only the crediting TIMING (up to 5 business days after the promo ends), NOT any promise that peso payments qualify.</t>
  </si>
  <si>
    <t xml:space="preserve">Verified the banner on Descargo LEMON Caso 13.assets/page_0001.jpeg ("te reintegramos el 50% de las 3 primeras facturas que pagues con USDC hasta el 13/10... Tope de reintegro: AR$1000 por factura. Aplican TyC") and the Vero chat on Descargo USUARIO Caso 13.assets/page_0002.jpeg (Vero only explains the ~20 Oct crediting timeframe; no promise that pesos qualify). No discrepancy.</t>
  </si>
  <si>
    <t xml:space="preserve">As in Case 9, the USDC condition is stated in the headline banner itself, satisfying Informacion/Transparencia, so this is calibration example 148, not 147. The user's CCC art. 765 argument is misdirected: he was free to PAY in pesos, but the promotional benefit was expressly conditioned on USDC payment — a lawful, clearly disclosed promo term, not a refusal to accept legal tender. His own evidence does not show any adviser promising the reintegro for peso payments; Vero only addressed timing. The 9,000 claim also exceeds the disclosed AR$1000/invoice cap. No genuine ambiguity triggers in dubio pro consumidor.</t>
  </si>
  <si>
    <t xml:space="preserve">This concerns the same promotion as Case 9, and the dispositive condition is again disclosed in the headline. The promo banner (verified against page_0001.jpeg) conditions the 50% reintegro on "las 3 primeras facturas que pagues con USDC" and states the AR$1000-per-invoice cap — so Informacion and Transparencia are satisfied and this is the policy's example 148 (clear terms; user misread/preferred a different method), not example 147.
The user's reliance on Civil Code art. 765 is misplaced: he was free to pay his bills in pesos, but the promotional reintegro was a lawful, clearly disclosed benefit conditioned on USDC payment — conditioning a discretionary promo on a particular asset is not a refusal of legal tender. His own Vero chat (verified against page_0002.jpeg) shows only a discussion of crediting timing, not any representation that peso payments would qualify, so there is no bad-faith assurance to hold against Lemon and no genuine ambiguity to resolve pro consumidor. The 9,000 claimed also exceeds the disclosed per-invoice cap. I vote to Rule for Lemon.</t>
  </si>
  <si>
    <t xml:space="preserve">Florencia Conte (florconte@gmail.com) — "Enlargee" charge 12.924,02 ARS, 22 Nov 2023; ID bfe37242-fc77-4c77-b61d-231609b4adab</t>
  </si>
  <si>
    <t xml:space="preserve">Unauthorized transaction (card-not-present) / chargeback denial</t>
  </si>
  <si>
    <t xml:space="preserve">A fraudulent online transaction she never authorised should be reversed by Lemon.</t>
  </si>
  <si>
    <t xml:space="preserve">This was a remote purchase the user herself made and now wants cancelled; it lacks fraud parameters; cancellation must be pursued with the provider, so chargeback conditions are not met.</t>
  </si>
  <si>
    <t xml:space="preserve">Protección; Información; Buena Fe; In dubio pro consumidor (tested)</t>
  </si>
  <si>
    <t xml:space="preserve">User (claimant) must show a Lemon policy violation more likely than not; default = Lemon's chargeback denial stands.</t>
  </si>
  <si>
    <t xml:space="preserve">User's own screenshots — merchant order-tracking (Nike running shoes) and chat with the seller demanding refund/cancellation — primary, unrebutted, and self-defeating to the "unauthorised" framing.</t>
  </si>
  <si>
    <t xml:space="preserve">Page image Descargo USUARIO 15 p.4 verified — "12.924,02 ARS / Enlargee / 22 Noviembre 2023 19:44hs / VISA-*4685 / ID bfe37242-fc77-4c77-b61d-231609b4adab" matches the .md; Lemon's email (p.3) also names "Enlargee". No discrepancy.</t>
  </si>
  <si>
    <t xml:space="preserve">The user's own evidence shows she interacted with the merchant page, placed an order and is seeking a cancellation/refund of goods not received — a consumer-vs-merchant dispute, not an unauthorised charge. Lemon's communications were consistent (chargeback conditions, route to provider) and engage no misleading practice. Under the burden of proof there is no evidence of a Lemon-side violation; the loss, if any, is a goods dispute with a third-party merchant. No genuine ambiguity in Lemon's terms triggers in dubio pro consumidor.</t>
  </si>
  <si>
    <t xml:space="preserve">According to the screenshots submitted by the user herself (order status and chat with the store demanding a refund for a pair of shoes), the operation was a remote purchase that she herself initiated and whose cancellation she is seeking, not an unrecognised transaction. This fits the scenario where the loss derives from the relationship with the provider and not from a breach by Lemon.
Applying the principle of Information (Información) and Good Faith (Buena Fe), Lemon communicated consistently that the non-recognition had to be handled with the provider and that the chargeback conditions were not met, with no misleading practice. No ambiguity arises in the terms that would trigger in dubio pro consumidor. The burden of proving a violation falls on the user and is not established. Vote: Rule for Lemon.</t>
  </si>
  <si>
    <t xml:space="preserve">Seijo Maximiliano Enrique — 400 UXD (Ripio stablecoin) sent to Lemon, 31/12/23</t>
  </si>
  <si>
    <t xml:space="preserve">Token-not-listed / wrong-network deposit loss</t>
  </si>
  <si>
    <t xml:space="preserve">Lemon should return the 400 UXD (or equivalent) he transferred from Ripio; retaining it under a T&amp;C technicality is bad faith.</t>
  </si>
  <si>
    <t xml:space="preserve">UXD is Ripio's own token, never listed/promoted by Lemon; per T&amp;C 13.7 unlisted-token/wrong-network deposits are not credited and may be lost; the Cash-In screen warned funds were exclusively for USDC.</t>
  </si>
  <si>
    <t xml:space="preserve">Información; Transparencia; Buena Fe; In dubio pro consumidor (tested)</t>
  </si>
  <si>
    <t xml:space="preserve">User must show a Lemon violation more likely than not; default = no obligation to credit an unlisted token.</t>
  </si>
  <si>
    <t xml:space="preserve">User's Ripio screenshot showing he sent UXD on Polygon — primary, confirms the token was UXD (unlisted), unrebutted; Lemon's Cash-In warning screen ("Asegurate de depositar USDC... De lo contrario perderás tus fondos") — secondary.</t>
  </si>
  <si>
    <t xml:space="preserve">no decisive token required image verification — both parties agree the token sent was UXD and that Lemon never listed it; the dispute is legal (does T&amp;C 13.7 / the warning bind), not a contested figure. Token lists and the warning text read consistently in the .md.</t>
  </si>
  <si>
    <t xml:space="preserve">It is uncontested the user sent an unlisted token (UXD) to a USDC-only address. Lemon disclosed the USDC-only requirement at Cash-In and in T&amp;C 13.7; that term does not contradict the policy principles (it warns clearly and aligns with operational reality). No promise of recovery was made (contrast case 28). The loss stems from the user's own erroneous transfer of an unsupported asset, not a Lemon misrepresentation; the "industry usually refunds" assertion is unsupported. Burden unmet.</t>
  </si>
  <si>
    <t xml:space="preserve">The user himself acknowledges, and his Ripio screenshot confirms, that he sent UXD (a Ripio token never listed on Lemon) to an address which, during the Cash-In process, expressly warned that it was exclusively for USDC and that otherwise the funds would be lost. Pursuant to the principle of Information (Información), the material condition was communicated clearly and in advance, and clause 13.7 does not contradict the principles of the policy.
Unlike a case involving a refund promise, here Lemon maintained a consistent position. There is no misleading practice or ambiguity that would trigger in dubio pro consumidor; the loss derives from the user's error in transferring an unsupported asset. No breach by Lemon is established. Vote: Rule for Lemon.</t>
  </si>
  <si>
    <t xml:space="preserve">BTC sell-price display dispute — 0,00227025 BTC; 21/02/24</t>
  </si>
  <si>
    <t xml:space="preserve">Commission/fee + price-display (compraventa)</t>
  </si>
  <si>
    <t xml:space="preserve">The interface is unclear; multiplying his BTC by the reference price gives ~127.604 ARS but the app only offers 123.367,08 ARS, even after the 0,5% fee.</t>
  </si>
  <si>
    <t xml:space="preserve">The reference price shown is the buy rate; sales use the sell rate (standard spread), plus a 0,5% commission — both visible to the user before transacting; the figures are correct.</t>
  </si>
  <si>
    <t xml:space="preserve">Información; Transparencia; In dubio pro consumidor (tested)</t>
  </si>
  <si>
    <t xml:space="preserve">User must show misleading/incomplete info more likely than not; default = the executed sale figure stands.</t>
  </si>
  <si>
    <t xml:space="preserve">User's own screenshots — sell screen shows gross 123.987,01 ARS and "recibir" 123.367,08; asset screen shows balance ≈123.996,40 ARS and reference 56.207.085 ARS; confirm screen shows "Comisión 0,50%" and exchange rate. Primary, unrebutted.</t>
  </si>
  <si>
    <t xml:space="preserve">Page image Descargo USUARIO 23 p.2 verified — gross 123.987,01 ARS, receive 123.367,08, balance 123.996,40, reference 56.207.085,00. Arithmetic check: 123.987,01 x 0,995 = 123.367,17 ≈ 123.367,08 (sell-rate gross minus 0,5% fee). The user's 127.604 figure came from multiplying quantity by the buy/reference rate, ignoring the spread. No discrepancy.</t>
  </si>
  <si>
    <t xml:space="preserve">The information the user needed — buy-vs-sell spread and the 0,5% commission — was displayed on his own screens before confirming, and the receive figure is internally consistent (gross sell value less 0,5%). This matches the calibration where advertised terms are explicit and the user simply misread (policy example 148). There is no hidden term and no genuine ambiguity to trigger in dubio pro consumidor; the spread is a standard, disclosed market mechanic.</t>
  </si>
  <si>
    <t xml:space="preserve">According to the screenshots submitted by the user, the sale screen shows a gross of 123.987,01 ARS and a net to be received of 123.367,08 ARS, and the confirmation screen displays the 0,50% commission and the exchange rate before transacting. The arithmetic checks out: 123.987,01 minus 0,50% equals the net offered. The user's error was to apply the reference (buy) price to his balance, ignoring the buy/sell spread.
Pursuant to the principles of Information (Información) and Transparency (Transparencia), the condition (spread and commission) was available clearly and in advance, analogous to case 148 where the terms were explicit and the user misinterpreted them. There is no ambiguity that would enable in dubio pro consumidor. Vote: Rule for Lemon.</t>
  </si>
  <si>
    <t xml:space="preserve">giovannichoque2 (User ID 1670463) — "Pedidos Ya" charge 20.359,00 ARS, 09 Feb 2024; ID b37ee8e4-99e6-4ee9-9688-1b4f0609fe9d</t>
  </si>
  <si>
    <t xml:space="preserve">Unauthorized transaction (card) — disproved</t>
  </si>
  <si>
    <t xml:space="preserve">A Pedidos Ya charge was made with a card he had already reported stolen and blocked, so Lemon must refund it.</t>
  </si>
  <si>
    <t xml:space="preserve">The operation lacks fraud characteristics — the user pre-funded ~30.000 ARS from his own account minutes before, and the card was only de-activated on 13/02/2024 (after the 09/02 charge); chargebacks route to the provider per T&amp;C 5.1/5.2.</t>
  </si>
  <si>
    <t xml:space="preserve">Buena Fe; Protección; Información</t>
  </si>
  <si>
    <t xml:space="preserve">User must show the charge was unauthorised / a Lemon failure more likely than not; default = charge stands.</t>
  </si>
  <si>
    <t xml:space="preserve">Lemon back-office — VIRTUAL_DEPOSIT +30000 ARS at 9/2/2024 20:38:40 (own account) and card-data row "card_state REPORTED, último_cambio_estado 13/2/2024 17:20, card_last_four 7151" — primary, directly contradicts the user's central factual claim; unrebutted.</t>
  </si>
  <si>
    <t xml:space="preserve">Page image Descargo LEMON 24 p.2 verified (incl. zoom of the small-print card-data row under the "not transcribed by OCR" marker): deposit +30000 at 9/2 20:38:40; card REPORTED with último_cambio_estado 13/2/2024 17:20; last four 7151. Confirms the card was active at the 09/02 20:51 transaction. No discrepancy.</t>
  </si>
  <si>
    <t xml:space="preserve">The user's key assertion — that the card was already reported/blocked when the charge occurred — is refuted by primary records showing the de-activation on 13/02, four days after the 09/02 charge, and by his own near-equal self-funding 13 minutes prior. Under Buena Fe both parties must be honest; the user's submission omits these facts. With the factual premise of the claim disproved, no Lemon violation is shown and the loss does not stem from a Lemon-side failure.</t>
  </si>
  <si>
    <t xml:space="preserve">According to the back office submitted by Lemon, the user credited 30.000 ARS from an account of his own ownership at 20:38 on 09/02, thirteen minutes before the 20.359 ARS purchase at Pedidos Ya (20:51), and the card appears reported (REPORTED) only on 13/02/2024 17:20, that is, after the operation. This directly contradicts the crux of the claim, which asserted that the card had already been deactivated.
Pursuant to the principle of Good Faith (Buena Fe), the user's version does not hold up, and the operation does not exhibit fraud characteristics. Clauses 5.1/5.2 on channelling the claim to the provider do not contradict the policy. No breach by Lemon is established. Vote: Rule for Lemon.</t>
  </si>
  <si>
    <t xml:space="preserve">Carlos Ramoa (carlosramoa.cr@gmail.com) — "Xsolla *Eft" charge ~60 USDC / 73.680,29 ARS, 03 Feb 2024; ID 8dba7375-6aff-40f4-b74e-fcc76c2fe6cb</t>
  </si>
  <si>
    <t xml:space="preserve">Unauthorized transaction (card-not-present)</t>
  </si>
  <si>
    <t xml:space="preserve">A card he hadn't used since 2022 was fraudulently charged by Xsolla; his only prior Xsolla purchase (2020) used a different method, so Lemon must refund/chargeback.</t>
  </si>
  <si>
    <t xml:space="preserve">The user admits having operated with Xsolla before, so he must have provided his data to that provider; this is a cancellation to pursue with the provider per T&amp;C 5.1/5.2, not a Lemon matter.</t>
  </si>
  <si>
    <t xml:space="preserve">User must show a Lemon violation / Lemon-side failure more likely than not; default = charge stands.</t>
  </si>
  <si>
    <t xml:space="preserve">User screenshots — 2020 Xsolla receipt (Fall Guys, 4.47 USD, "pago cancelado", 08/06/2020) and Lemon account-creation reward dated 17 Abril 2022 — primary; partially rebut Lemon's "you previously gave Xsolla this card" inference (card post-dates the 2020 purchase).</t>
  </si>
  <si>
    <t xml:space="preserve">Page images Descargo USUARIO 25 p.13 (Xsolla 2020 receipt: 597009653, 08/06/2020 21:01, 4.47 USD, cancelled) and p.14 (account reward 17 Abril 2022) verified — confirm the Lemon card did not exist in 2020. Disputed charge p.6 (73.680,29 ARS / 60,116205 USDC / 03 Feb 2024) consistent. No discrepancy; the correction weakens Lemon's stated rationale but not the outcome (see application).</t>
  </si>
  <si>
    <t xml:space="preserve">Lemon's specific reasoning (prior Xsolla use implies prior provision of this card's data) is factually shaky because the Lemon card post-dates the cancelled 2020 purchase. However, the policy question is whether a Lemon violation is shown. This was a card-not-present charge to a genuine payment processor; the loss, if fraudulent, stems from third-party compromise of card data, not a demonstrated Lemon security failure or misleading practice. T&amp;C 5.1/5.2 (route chargebacks via provider/VISA) are standard and not contradicted by any headline. The dispute is purely factual (was it fraud?), not an ambiguous term, so in dubio pro consumidor does not apply. A weak Lemon argument does not by itself convert into a user win absent evidence of a Lemon breach; the user's sincere non-recognition does not meet his burden.</t>
  </si>
  <si>
    <t xml:space="preserve">According to the user's screenshots, his Lemon account was created on 17/04/2022 and the prior Xsolla purchase (2020) was cancelled and made with a different method, so Lemon's argument about the prior provision of this card's data is weak. Nevertheless, pursuant to the burden of proof, it is for the user to establish a breach by Lemon or a security failure on its part, and no evidence of this is provided: this is a card-not-present purchase at a real processor (Xsolla).
Clauses 5.1/5.2, which channel the cancellation claim to the provider, do not contradict the principles of the policy. The controversy is factual (whether there was third-party fraud), not an ambiguity of terms that would enable in dubio pro consumidor. As no violation by Lemon is demonstrated, the default state prevails. Vote: Rule for Lemon.</t>
  </si>
  <si>
    <t xml:space="preserve">Matias Damian Ramirez (soytuteoficial, ID 182676) — multiple Betsson2/Astropay charges, 11–21 Feb 2024</t>
  </si>
  <si>
    <t xml:space="preserve">Unauthorized transaction (card) — disproved by modus operandi</t>
  </si>
  <si>
    <t xml:space="preserve">He never bought at Astropay/Betsson2; after briefly losing his card at work it was used for charges he didn't make, so Lemon must refund.</t>
  </si>
  <si>
    <t xml:space="preserve">The charges are not fraudulent — the user repeatedly pre-funded his own account from his own bank minutes before each "unrecognised" payment (a consistent modus operandi); chargebacks route to the provider per T&amp;C 5.1/5.2.</t>
  </si>
  <si>
    <t xml:space="preserve">User must show the charges were unauthorised / a Lemon failure more likely than not; default = charges stand.</t>
  </si>
  <si>
    <t xml:space="preserve">Lemon back-office — deposit +1812.53 ARS at 11/2 21:57:33 then Betsson2 -1800 at 11/2 22:01:19; deposit +2000 at 14/2 21:14:59 then Betsson2 -2000 at 14/2 21:17:09; deposit +3500 at 21/2 23:15:46 then Astropay -3500 at 21/2 23:54:59 — all from the user's own account/CUIT; primary, unrebutted; the user's own movements list corroborates the charge amounts/dates.</t>
  </si>
  <si>
    <t xml:space="preserve">Page images Descargo LEMON 26 p.1 (deposit +1812.53, 11/2 21:57:33, own account 0110354730030407007183) and p.2 (Betsson2 -1800, 11/2 22:01:19; deposit +3500, 21/2 23:15:46) verified — the deposit-then-spend-minutes-later pattern matches exactly. No discrepancy.</t>
  </si>
  <si>
    <t xml:space="preserve">The matched pre-funding pattern (deposits of near-exact amounts minutes before each disputed charge, from the user's own bank, across 11–21 Feb) makes it more likely than not that the user himself made these purchases. The user's timeline is also internally inconsistent (claims loss ~13–14 Feb, yet charges begin 11 Feb). Under Buena Fe the user's account is not credible, no Lemon violation is shown, and T&amp;C 5.1/5.2 do not contradict the policy.</t>
  </si>
  <si>
    <t xml:space="preserve">According to the back office submitted by Lemon, before each unrecognised purchase the user credited a nearly identical amount from his own bank account minutes earlier (e.g. +1812,53 ARS at 21:57:33 on 11/02 and a Betsson2 payment of -1800 at 22:01:19), a pattern that repeats on 14/02 and 21/02. His own movements confirm the amounts and dates of the charges.
This modus operandi, together with the temporal inconsistency of his account, contradicts the non-recognition pursuant to the principle of Good Faith (Buena Fe). No security failure or breach by Lemon is established, and clauses 5.1/5.2 do not contradict the policy. Vote: Rule for Lemon.</t>
  </si>
  <si>
    <t xml:space="preserve">Resistencia/Chaco user — "Inmobiliario ABL" (Buenos Aires) charge 7.172,07 ARS, 08 Mar 2024</t>
  </si>
  <si>
    <t xml:space="preserve">Unauthorized transaction (card) — service/tax payment</t>
  </si>
  <si>
    <t xml:space="preserve">An ABL (Buenos Aires city real-estate tax) charge he didn't make appears on his card; he lives in Chaco and still holds the card, so his data must have been compromised.</t>
  </si>
  <si>
    <t xml:space="preserve">There are no objective elements showing fraud; the user deposited money the day before and withdrew it minutes after the charge; chargebacks route to the provider per T&amp;C 5.1/5.2.</t>
  </si>
  <si>
    <t xml:space="preserve">Lemon table — LEMON_CARD_PAYMENT -7,172.07 at 8/3 19:03:16, then VIRTUAL_WITHDRAWAL -30,828.00 at 8/3 19:15:54 — primary; the withdrawal occurs AFTER the charge (consistent with reacting to it). User's Chaco bank statement (residence) — secondary, redacted.</t>
  </si>
  <si>
    <t xml:space="preserve">Page image Descargo LEMON 27 p.1 table verified — withdrawal -30,828.00 at 19:15:54 is later than the disputed payment -7,172.07 at 19:03:16; the claimed prior-day deposit is not shown in the visible rows. No discrepancy with the .md.</t>
  </si>
  <si>
    <t xml:space="preserve">Lemon's framing is weak — the post-charge withdrawal is as consistent with a user pulling funds after noticing fraud as with anything sinister, and the alleged prior-day deposit is unevidenced. But the burden is on the user, who provides only residence in Chaco; that does not establish a Lemon-side breach, since card-not-present fraud is location-independent. The controversy is factual, not an ambiguous Lemon term, so in dubio pro consumidor is not engaged. With no evidence of a Lemon security failure or misleading practice, the user has not shown a violation more likely than not, and T&amp;C 5.1/5.2 are standard.</t>
  </si>
  <si>
    <t xml:space="preserve">According to the table submitted by Lemon, the withdrawal of -30.828,00 ARS (19:15:54) is later than the unrecognised purchase of -7.172,07 ARS (19:03:16), so Lemon's "deposits and withdraws" argument is flimsy and compatible with a reaction by the user upon noticing the charge. Nevertheless, the burden of establishing a violation by Lemon falls on the user, and proof of residence in Chaco alone does not demonstrate a security failure of the platform in a card-not-present purchase.
The controversy is factual and not an ambiguity of the terms, so in dubio pro consumidor is not triggered. Clauses 5.1/5.2 do not contradict the policy. As no breach by Lemon is proven, the default state prevails. Vote: Rule for Lemon.</t>
  </si>
  <si>
    <t xml:space="preserve">Facundo/Guillermo — 0,1078085 BNB sent via OPBNB network; 28 Feb 2024; recovery promised then retracted</t>
  </si>
  <si>
    <t xml:space="preserve">Token-not-listed / wrong-network loss + retracted recovery promise</t>
  </si>
  <si>
    <t xml:space="preserve">Lemon support expressly promised to recover/credit the funds, then reneged after raising false hopes; per its own T&amp;C 13.6/13.7 it should refund.</t>
  </si>
  <si>
    <t xml:space="preserve">OPBNB is unlisted and was sent on an unsupported network; under T&amp;C 13.6/13.7 recovery may be impossible; the support promise of recovery "was an error" and is not binding, invoking Buena Fe.</t>
  </si>
  <si>
    <t xml:space="preserve">Información; Transparencia; Buena Fe; In dubio pro consumidor</t>
  </si>
  <si>
    <t xml:space="preserve">User must show a Lemon violation more likely than not; default = no obligation to credit unlisted token — BUT a clear retracted promise shifts the analysis.</t>
  </si>
  <si>
    <t xml:space="preserve">User chat screenshot — agent states verbatim "Nuestro equipo revisó nuevamente y nos informó que sí es posible hacer el recupero de los fondos. Durante la semana entrante, se van a acreditar en tu cuenta. Cuando suceda, te vamos a avisar por correo y por la app." Primary, unrebutted; Lemon concedes the promise was made.</t>
  </si>
  <si>
    <t xml:space="preserve">Page image Descargo USUARIO 28 p.3 verified — the affirmative recovery/credit promise is reproduced exactly as in the .md; Lemon's own descargo (p.2) admits "en el servicio de soporte se indicó la posibilidad de devolución... esto fue un error". No discrepancy.</t>
  </si>
  <si>
    <t xml:space="preserve">While the wrong-network premise mirrors case 17, the decisive difference is that here a Lemon agent made an unambiguous, specific affirmative commitment — funds recoverable, to be credited the following week, with notice — which the consumer reasonably relied on. The Principles of Información and Transparencia forbid communications that mislead the consumer, and Buena Fe binds the provider to honest dealing; a provider cannot make a definite credit promise and then retract it as "a mistake" to the consumer's detriment. Where the provider's own communication is contradictory on a material point, in dubio pro consumidor resolves it for the user.</t>
  </si>
  <si>
    <t xml:space="preserve">According to the screenshot submitted by the user, Lemon's team expressly confirmed to him that "it is indeed possible to recover the funds" and that "during the coming week they will be credited to your account", and Lemon's own response admits that this statement was made (alleging that "it was an error"). Unlike case 17, here there existed an affirmative, specific and acknowledged promise.
Pursuant to the principles of Information (Información), Transparency (Transparencia) and Good Faith (Buena Fe), the provider cannot induce a concrete expectation of a refund and then disavow it to the consumer's detriment; in the face of the contradiction in its own communication, in dubio pro consumidor applies. Vote: Rule for the User.</t>
  </si>
  <si>
    <t xml:space="preserve">User 214376 — two ARS transfers of 25.000 each to "Carlos Agustin Ortuay", 02 May 2024</t>
  </si>
  <si>
    <t xml:space="preserve">Scam / 3rd-party (self-authorised transfers)</t>
  </si>
  <si>
    <t xml:space="preserve">Two transfers to an unknown person drained his balance; he wants an explanation and his funds back, citing a security failure.</t>
  </si>
  <si>
    <t xml:space="preserve">No device theft was reported; access was via the user's own Face ID with no passcode/biometric failures; all operations came from his habitual device/IP (unchanged since 2022) from which he still operates; his claim of rejected card purchases on 02.05 is false — likely a scam he now disowns.</t>
  </si>
  <si>
    <t xml:space="preserve">Protección; Buena Fe; Información; In dubio pro consumidor (tested)</t>
  </si>
  <si>
    <t xml:space="preserve">User must show an unauthorised Lemon-side transaction / security failure more likely than not; default = transfers stand.</t>
  </si>
  <si>
    <t xml:space="preserve">Lemon login records — same device_id 700B7A56-30D7-48A8-A885-E877F7490368 across logins on/around 2–7 May 2024, last device change 30/1/2022; plus the user's OWN WhatsApp evidence showing him arranging a transfer (borrowing for "maples") and a deposit from that contact the same day. Primary, unrebutted.</t>
  </si>
  <si>
    <t xml:space="preserve">Page image Descargo LEMON 29 p.2 verified — the login table shows the identical device_id 700B7A56-...-7490368 on 2/5/2024 (16:07, 16:56, 19:10) and subsequent days, consistent with the user's habitual device; the epoch-ms login_time small digits carry a "not transcribed" marker but the device_id consistency (the decisive point) is legible. No discrepancy.</t>
  </si>
  <si>
    <t xml:space="preserve">The transfers were executed from the user's own authenticated device with no security anomaly, and his own WhatsApp evidence shows him actively moving funds that day. Even if he was socially engineered, this is an authorised transfer to a third party, not a Lemon-side failure or unauthorised execution. No misleading practice or ambiguous term is engaged, so in dubio pro consumidor does not apply; the burden of showing a Lemon violation is unmet.</t>
  </si>
  <si>
    <t xml:space="preserve">According to the records submitted by Lemon, the operations of 02/05/2024 were carried out from the same device_id (700B7A56-...-7490368) and the user's habitual IP, with no device change (last change 30/01/2022) and no biometric failures. The user's own WhatsApp screenshots show him arranging transfers that same day.
Pursuant to the guidance on third-party scams, an authorised transfer from the user's own device does not constitute a security failure by Lemon or an unauthorised execution. There is no misleading practice or ambiguity of terms that would trigger in dubio pro consumidor, and no breach by Lemon is established. Vote: Rule for Lemon.</t>
  </si>
  <si>
    <t xml:space="preserve">gnarvaja / Guillermo — 2500 USDC Bridged (Polygon) credited as 2250 USDC native; 250 USD (10%) recovery fee; 02 Apr 2024</t>
  </si>
  <si>
    <t xml:space="preserve">Commission/fee (recovery) + notification of delisting; cited T&amp;C 13.7</t>
  </si>
  <si>
    <t xml:space="preserve">The 250 USD (10%) recovery fee for converting bridged-to-native USDC is abusive/excessive (he'd accept ~50 USD) and the bridged-USDC delisting was inadequately notified (one email), so he seeks 200 USD back.</t>
  </si>
  <si>
    <t xml:space="preserve">Per T&amp;C 13.7, recovery of unlisted/wrong-network assets costs network fees plus a 10% recovery commission — hence 2250 credited; the delisting was notified by email plus in-app push and banner; the funds were in fact recovered and credited.</t>
  </si>
  <si>
    <t xml:space="preserve">Información; Transparencia; Protección; Buena Fe; In dubio pro consumidor (tested)</t>
  </si>
  <si>
    <t xml:space="preserve">User must show the fee was undisclosed/abusive or notification failed, more likely than not; default = the disclosed 10% fee stands.</t>
  </si>
  <si>
    <t xml:space="preserve">User's own chat — he concedes "Ok, ahí encontré el mail del 25 de enero" (notification received) and admits the funds were credited (2250), disputing only the fee size — primary, unrebutted; T&amp;C 13.7 stating the 10% recovery commission.</t>
  </si>
  <si>
    <t xml:space="preserve">Page image Descargo USUARIO 30 p.4 verified — the user's admission "ahí encontré el mail del 25 de enero" and "u$s 250 es un exceso... Algo como 50 usd" is reproduced exactly. The 2500/2250/250 (=10%) figures are admitted by the user and consistent with T&amp;C 13.7. No discrepancy; no token could flip the outcome given the concession.</t>
  </si>
  <si>
    <t xml:space="preserve">The 10% recovery commission is the express, disclosed term of T&amp;C 13.7 (10% of 2500 = 250), not a headline contradicted by buried fine print — so this is the calibration-148 situation, not the buried-cap situation of case 147. The user concedes he received the January delisting email, defeating the notification prong, and the funds were actually recovered and credited. His real complaint is that the disclosed fee is too high — i.e., he wants better terms than those clearly stipulated. The T&amp;C term does not contradict the principles (it reflects real recovery/conversion cost and was communicated), so it is not overridden, and there is no genuine ambiguity to trigger in dubio pro consumidor.</t>
  </si>
  <si>
    <t xml:space="preserve">According to the user's own chat submitted by him, he acknowledges having found the email of 25 January that notified the delisting of bridged USDC, and admits that the funds were credited (2250 USDC). His claim is limited to the size of the 10% commission (250 USD), which is exactly the express term of clause 13.7 and corresponds to 10% of 2500.
Pursuant to the principles of Information (Información) and Transparency (Transparencia), the condition was disclosed clearly and in advance and notified by email (acknowledged by the user), analogous to case 148. This is not a hidden cap contradicted by a headline advertisement (case 147), nor is there any ambiguity that would enable in dubio pro consumidor; the user is seeking better conditions than those stipulated. Vote: Rule for Lemon.</t>
  </si>
  <si>
    <t xml:space="preserve">User "Gaby" / Gabriela Fernanda (sender); transfer 09/06/2024; n/a case ID</t>
  </si>
  <si>
    <t xml:space="preserve">Transfer not credited (ARS in from external bank)</t>
  </si>
  <si>
    <t xml:space="preserve">An ARS 50,000 transfer sent 09/06/2024 from Banco Santa Fe was never credited to her Lemon account.</t>
  </si>
  <si>
    <t xml:space="preserve">It has no record of the transfer arriving and cannot trace it without the Coelsa ID, which it asked the user for and never received.</t>
  </si>
  <si>
    <t xml:space="preserve">Proteccion; Informacion; Buena Fe</t>
  </si>
  <si>
    <t xml:space="preserve">User (claimant) must show, more likely than not, that funds reached Lemon and Lemon failed to credit; default = Lemon's action stands.</t>
  </si>
  <si>
    <t xml:space="preserve">User's Banco Santa Fe email (primary, secondary as to Lemon's receipt) showing a DEBIN op "Op. Exitosa" but with the bank's own instruction "Verificar cbu receptor"; not rebutted but does not show arrival at a Lemon CVU.</t>
  </si>
  <si>
    <t xml:space="preserve">Opened Descargo USUARIO caso 31.assets/page_0002.jpeg; bank email confirms "operación se realizó en forma exitosa. Verificar cbu receptor", a DEBIN/Home Banking entry dated 2024-06-09 for 50.000,00 with no Coelsa ID provided to Lemon and no Lemon destination CBU shown; matches OCR, no discrepancy.</t>
  </si>
  <si>
    <t xml:space="preserve">The user bears the burden of showing the funds reached Lemon and were withheld. Her primary document is a sending-bank confirmation that itself flags "verify the receiving CBU" and shows no Coelsa ID and no Lemon CVU as destination, so it does not establish arrival at Lemon. Lemon explained transparently (Buena Fe / Informacion) that without the Coelsa ID it cannot trace a transfer that never entered its records, requested that data, and the chat shows the user did not respond. No Lemon information, transparency or good-faith violation is shown; the factual gap (where the funds are) is not contractual ambiguity, so in dubio pro consumidor is not engaged.</t>
  </si>
  <si>
    <t xml:space="preserve">Under the Burden of Proof, the default is that Lemon's position stands and the user must demonstrate a policy violation is more likely than not. The user's only material evidence is a Banco Santa Fe confirmation addressed to the sender that records a successful debit but expressly instructs "Verificar cbu receptor" and contains no Coelsa ID and no Lemon CVU as the destination. That does not establish that the funds arrived at a Lemon account, which is the fact the claim requires.
Applying Buena Fe and Informacion to Lemon's conduct, Lemon acted diligently and transparently: it explained the role of Coelsa, requested the Coelsa ID needed to trace a transfer absent from its records, and provided guidance, and the unrebutted chat shows the user did not supply it. There is no buried term, undisclosed fee, misleading communication, or unauthorised transaction by Lemon. The doubt here is purely factual, not an ambiguity in Lemon's terms, so In dubio pro consumidor is not triggered.
On the balance of the evidence the claim of a Lemon-side failure is not made out. The vote is Rule for Lemon.</t>
  </si>
  <si>
    <t xml:space="preserve">Fausto Ologube (lemontag ologubefausto8); sale 01/08/2023 01:11</t>
  </si>
  <si>
    <t xml:space="preserve">Crypto sale proceeds not credited (USDT/USDC -&gt; ARS)</t>
  </si>
  <si>
    <t xml:space="preserve">He sold 64 USDT on 01/08/2023; the sale showed complete but the ARS deposit never arrived.</t>
  </si>
  <si>
    <t xml:space="preserve">The sale completed correctly, +34,336.38 ARS was credited to his CVU under the same transaction ID, and he then spent the balance in many same-day operations.</t>
  </si>
  <si>
    <t xml:space="preserve">User (claimant) must show the ARS proceeds were not credited; default = Lemon's records stand.</t>
  </si>
  <si>
    <t xml:space="preserve">User's own screenshot transaction ID 16bc4bbf-2b10-488a-9717-0fd1ab0a23a1 (primary) matches the CVU CREDIT line in Lemon's statement; CVU statement (primary) shows the credit and subsequent debits to $0.00; not rebutted.</t>
  </si>
  <si>
    <t xml:space="preserve">Opened Descargo USUARIO caso 32.assets/page_0002.jpeg; user's transaction ID reads 16bc4bbf-2b10-488a-9717-0fd1ab0a23a1 and matches Lemon's CVU CREDIT row (16bc4bbf-...) for $34,154.70 net at 1/8/2023 1:11; no discrepancy. Screenshot also shows the user's other same-day movements, corroborating active use.</t>
  </si>
  <si>
    <t xml:space="preserve">The decisive token is the transaction ID, which appears identically in the user's own screenshot and in Lemon's CVU credit entry, establishing the proceeds were credited. The statement then shows numerous same-day debits drawing the balance to zero, so the funds were received and used. Lemon's records are internally consistent and corroborated by the user's own evidence (Informacion / Buena Fe satisfied). No violation is shown; this is user confusion among many operations.</t>
  </si>
  <si>
    <t xml:space="preserve">The claim fails on the user's own primary evidence. The transaction ID on the user's screenshot (16bc4bbf-2b10-488a-9717-0fd1ab0a23a1) is the same ID shown on the CVU CREDIT line in Lemon's account statement, confirming that the ARS proceeds of the 64 USDC sale were credited to the user's CVU at 1/8/2023 1:11. The statement further shows the user spending that balance down to zero through many same-day debits.
Lemon discharged its Informacion and Buena Fe duties: it produced the matching crypto-sale detail and the full CVU and wallet statements showing correct execution. There is no undisclosed fee (the 171.08 ARS fee is itemised), no misleading communication, and no unexecuted credit.
On the balance of the evidence the operation completed correctly and the funds were credited and used. The vote is Rule for Lemon.</t>
  </si>
  <si>
    <t xml:space="preserve">n/a (emprendedor; transfer 18 May to a seller)</t>
  </si>
  <si>
    <t xml:space="preserve">Scam/3rd-party (non-delivery of goods)</t>
  </si>
  <si>
    <t xml:space="preserve">He transferred funds on 18 May to a seller for his business, never received the products, and asks Lemon for at least a partial refund.</t>
  </si>
  <si>
    <t xml:space="preserve">The dispute is with a third-party seller; Lemon merely executed the user's own authorised transfer and bears no responsibility for the seller's non-performance.</t>
  </si>
  <si>
    <t xml:space="preserve">Proteccion; Buena Fe; Educacion</t>
  </si>
  <si>
    <t xml:space="preserve">User (claimant) must show a Lemon policy violation; default = Lemon's action stands. User submitted no evidence.</t>
  </si>
  <si>
    <t xml:space="preserve">User presented no evidence ("No presentó pruebas"); user himself characterises the counterparty as a third-party "vendedor"; Lemon's security-content screenshots (secondary) unrebutted.</t>
  </si>
  <si>
    <t xml:space="preserve">No decisive token required image verification — the case is lopsided; the user admits a third-party transfer and submits no evidence of any Lemon act.</t>
  </si>
  <si>
    <t xml:space="preserve">The loss stems from a third-party seller's non-delivery following a transfer the user authorised, not from any Lemon act. There is no misleading information, undisclosed fee, or unauthorised transaction by Lemon, and Proteccion does not convert Lemon into guarantor of a third party's commercial performance. With no evidence of a Lemon violation, the burden is unmet.</t>
  </si>
  <si>
    <t xml:space="preserve">The user bears the burden of showing a policy violation and submitted no evidence. By his own account the conflict is with a third-party seller to whom he chose to transfer funds; the goods then failed to arrive. Under the dispute-type orientation, a user who authorises a transfer to a third-party who does not perform has a claim against that third party, not against Lemon, absent a distinct Lemon information or protection failure.
No such failure is present: Lemon executed a validly authorised instruction the user never disowned, and there is no allegation of misleading advertising, hidden terms, or undisclosed fees. Proteccion and Buena Fe protect consumers against the provider's own conduct; they do not make Lemon liable for an unrelated seller.
On the balance of the evidence the claim is not made out. The vote is Rule for Lemon.</t>
  </si>
  <si>
    <t xml:space="preserve">Maria Angelica Adaos; Brubank transfer 14/06/2024 17:36</t>
  </si>
  <si>
    <t xml:space="preserve">Transfer not credited (ARS in from Brubank)</t>
  </si>
  <si>
    <t xml:space="preserve">An ARS 15,200 transfer sent 14/06/2024 from her Brubank account to her Lemon account never credited.</t>
  </si>
  <si>
    <t xml:space="preserve">It never received the transfer from Brubank, told the user transfers can take up to 48 business hours, and asked her to obtain the Coelsa ID from Brubank to trace it; no response received.</t>
  </si>
  <si>
    <t xml:space="preserve">User's Brubank receipt (primary as to sending) showing "Transferencia enviada" to Banco Lemon, CBU 0000168300000014753071, ID Operación 240618000015740339 0549; Lemon support chat (secondary) requesting Coelsa ID; receipt does not prove receipt/crediting by Lemon.</t>
  </si>
  <si>
    <t xml:space="preserve">Opened Descargo USUARIO caso 34.assets/page_0002.jpeg; destination Banco = Lemon, CBU = 0000168300000014753071, ID Operación = 240618000015740339 0549, amount $15.200,00, dated 14/06/2024 17:36; matches OCR, no discrepancy. The ID shown is Brubank's operation ID, not the Coelsa ID Lemon requested.</t>
  </si>
  <si>
    <t xml:space="preserve">The receipt is a sending-bank confirmation to a Lemon CBU, which is some evidence the funds left Brubank toward Lemon, but "Transferencia enviada" does not establish that Lemon received and withheld them. Lemon's unrebutted position is that it never received the funds, and it acted transparently (Informacion / Buena Fe) by explaining the 48-hour window, supplying the official help-centre link, and requesting the authoritative Coelsa ID, which the user did not provide. The doubt is factual (which side the funds are stuck on), not ambiguity in Lemon's terms, so In dubio pro consumidor is not engaged; the user has not met the burden of showing a Lemon-side failure.</t>
  </si>
  <si>
    <t xml:space="preserve">The user's Brubank receipt confirms a transfer was sent toward a Lemon CBU but does not prove that Lemon received and failed to credit the funds; inter-bank transfers can fail or reverse at the clearing house after the sending bank marks them sent. The burden is on the user to show a Lemon-side failure more likely than not, and the receipt alone does not carry it.
Lemon's conduct satisfies Informacion and Buena Fe: it set correct expectations (up to 48 business hours), provided an official explanation of the Coelsa ID, and repeatedly and clearly requested that authoritative tracing token from Brubank, which the user did not supply. There is no buried term, undisclosed fee, or unauthorised transaction, and the ambiguity is purely factual rather than contractual, so In dubio pro consumidor is not triggered.
On the balance of the evidence the claim of a Lemon-side failure is not established. The vote is Rule for Lemon.</t>
  </si>
  <si>
    <t xml:space="preserve">Carlos Santiago Garcia Florit; transfer 15/06/2024 13:15</t>
  </si>
  <si>
    <t xml:space="preserve">Unauthorized/erroneous transaction (user wrong-alias input)</t>
  </si>
  <si>
    <t xml:space="preserve">On 15/06/2024 he mistyped the recipient alias and sent ARS 3,940 to the wrong person, and asks Lemon to refund it.</t>
  </si>
  <si>
    <t xml:space="preserve">It executed the user's own validly given instruction; once executed, the transfer is irreversible and Lemon cannot claw back funds from a third party's account at another institution.</t>
  </si>
  <si>
    <t xml:space="preserve">User (claimant) must show a Lemon violation; default = Lemon's action stands. User concedes his own error.</t>
  </si>
  <si>
    <t xml:space="preserve">User's own admission of the alias-input error; user's Lemon receipt (primary) showing a completed transfer to Viviana Ayelen Ramirez at Mercado Pago with a valid Coelsa ID and transaction ID; not rebutted.</t>
  </si>
  <si>
    <t xml:space="preserve">No decisive token required image verification — the user expressly admits the wrong-alias error and asks for reversal; the core fact is conceded and the receipt is corroborative.</t>
  </si>
  <si>
    <t xml:space="preserve">The loss results from the user's own authorised action (a self-inflicted input error), not a Lemon act. Lemon correctly executed the instruction to the alias/CBU the user supplied, the transfer reached a real third party at another institution, and Lemon has no power to reverse it. There is no misleading information, undisclosed fee, or unauthorised transaction by Lemon; Proteccion does not require the provider to undo a consumer's own correctly-executed instruction.</t>
  </si>
  <si>
    <t xml:space="preserve">The user concedes that he himself entered the wrong recipient alias, and his own receipt shows the transfer was executed exactly as instructed, with a valid Coelsa ID, to a real third party at Mercado Pago. The loss therefore stems from the user's own authorised action, not from any Lemon conduct.
Under the dispute-type orientation for user-authorised transactions, Lemon's correct execution of a validly-given instruction is not a violation, and inter-bank transfers to a third party are irreversible as a matter of the payment system. There is no information, transparency, or good-faith failure by Lemon to identify.
On the balance of the evidence no Lemon violation is shown. The vote is Rule for Lemon.</t>
  </si>
  <si>
    <t xml:space="preserve">User ID 651266; Google PlayStore charge 04/06/2024 09:25, ARS 45,876.30</t>
  </si>
  <si>
    <t xml:space="preserve">Commission/fee — disputed card charge (alleged unauthorized)</t>
  </si>
  <si>
    <t xml:space="preserve">An ARS 45,876.30 Google Play charge on his Lemon Card on 04/06/2024 was an unauthorized debit Lemon wrongly refused to charge back.</t>
  </si>
  <si>
    <t xml:space="preserve">Its Fraud team found no fraud pattern; the physical card was in the user's possession; he has a long recurring history of Google charges; this is a merchant dispute to be raised with Google/Visa.</t>
  </si>
  <si>
    <t xml:space="preserve">User (claimant) must show an unauthorized charge or Lemon-side failure; default = Lemon's action stands.</t>
  </si>
  <si>
    <t xml:space="preserve">Lemon's SQL transaction history (primary) for owner_id 651266 showing the disputed PlayStore charge plus a prior 2023 PlayStore charge and many monthly YouTube Premium and other Google charges, all COMPLETED; user provided no evidence of a Lemon breach; not rebutted.</t>
  </si>
  <si>
    <t xml:space="preserve">Opened Descargo LEMON Caso 36.assets/page_0002.jpeg; SQL output for User 651266 confirms recurring Google charges (multiple YouTube Premium 2023-2024, goodnovel, prior PlayStore) and the disputed 45,876.3 PlayStore charge dated 4/6/2024, all COMPLETED; matches OCR, no discrepancy.</t>
  </si>
  <si>
    <t xml:space="preserve">The charge fits an established, documented pattern of the user's own recurring Google-ecosystem spending on a physical card in his possession, with no fraud signature, no multiplicity of suspicious charges, and no compromised-card pattern. This is a merchant dispute whose proper channel (Informacion satisfied) is the merchant and the card-scheme chargeback, which Lemon explained, not a Lemon-executed unauthorised transaction or hidden fee (the taxes are statutory IVA/perception charges, itemised). The user's suggestion that Lemon build an accept/reject mechanism is a wish-list rule, not a policy violation. Burden unmet.</t>
  </si>
  <si>
    <t xml:space="preserve">The user alleges an unauthorised card charge but produced no evidence of a Lemon-side failure, while Lemon's transaction history shows that owner_id 651266 has a long, recurring relationship with the Google merchant ecosystem (repeated YouTube Premium subscriptions and a prior PlayStore purchase), into which the disputed charge fits. The physical card was in the user's possession and there is no fraud pattern or multiplicity of suspicious activity.
Under the dispute-type orientation, a disputed or regretted merchant charge on a card the user controls is resolved with the merchant and the card scheme, not as a Lemon-executed unauthorised transaction. Lemon satisfied Informacion and Buena Fe by analysing the matter through its Fraud team and directing the user to the correct chargeback channels; the foreign-purchase taxes are statutory and itemised, not an undisclosed Lemon fee. The proposed accept/reject feature is outside the governing principles and cannot be imported.
On the balance of the evidence no Lemon violation is shown. The vote is Rule for Lemon.</t>
  </si>
  <si>
    <t xml:space="preserve">Jose David Cohen (lemontag bordapampa); withdrawal 27/05/2024 12:25, ARS 100,000</t>
  </si>
  <si>
    <t xml:space="preserve">Transfer not credited (ARS out to a closed third-party account)</t>
  </si>
  <si>
    <t xml:space="preserve">He transferred ARS 100,000 to a relative's Santander account that was closed; the funds neither credited there nor returned to his Lemon account.</t>
  </si>
  <si>
    <t xml:space="preserve">It executed the transfer, which Santander received; the destination account was closed, so the matter lies with the destination bank, and Lemon recommended the user file a denuncia there.</t>
  </si>
  <si>
    <t xml:space="preserve">User (claimant) must show a Lemon violation; default = Lemon's action stands.</t>
  </si>
  <si>
    <t xml:space="preserve">User's Santander certificate (primary) showing account N° 254902 closed 18/12/2023; Lemon's VIRTUAL_WITHDRAWAL record and CX Digital Accounts table (primary) showing Coelsa reconciliation CONFIRMADO and the row "Retiro no acreditado en destino (post conci)"; not rebutted.</t>
  </si>
  <si>
    <t xml:space="preserve">Opened Descargo LEMON Caso 37.assets/page_0001.jpeg and cropped both tables. Discrepancies vs .md: date md said "2/5/2024" / image shows 27/5/2024 12:25:54; Coelsa ID md said "PDX4OGNYJ5E8YVJPNNJ6EY" / image shows PDX4OGNYJ5E8YVJRN0L6EY; destination CBU md said "07203801880002360714/8" / image shows 0720389188000036071618 (bank code 072 = Santander). CX table confirms resultado_conciliacion = CONFIRMADO and "Retiro no acreditado en destino (post conci)". Corrections reinforce, and do not change, the outcome.</t>
  </si>
  <si>
    <t xml:space="preserve">Lemon's own records show the withdrawal was validly executed, Coelsa-confirmed and routed to the Santander destination CBU but "not credited at destination" because the account had been closed for over five months before the 27/05/2024 transfer. When a transfer reaches a closed account, the destination bank is responsible for rejecting/returning it; Lemon cannot recover funds received on the destination-bank side. Lemon acted transparently and in good faith (Informacion / Buena Fe) by candidly recording the status and directing the user to the destination bank. The doubt is factual, not contractual ambiguity, so In dubio pro consumidor is not engaged.</t>
  </si>
  <si>
    <t xml:space="preserve">The user authorised a transfer to a destination CBU at Santander, and Lemon's records (with Coelsa reconciliation CONFIRMADO) show the transfer was validly executed and routed to that destination, where it was not credited because the account had been closed since 18/12/2023, months before the 27/05/2024 transfer. Responsibility for a transfer reaching a closed account, and for its return, lies with the destination bank, not with Lemon, which has no power to claw back funds received on the Santander side.
Lemon satisfied Informacion and Buena Fe: its dashboard candidly classifies the operation as "Retiro no acreditado en destino" rather than concealing it, and it directed the user to file a complaint with the destination bank holding the funds. There is no misleading information, undisclosed fee, or unauthorised transaction by Lemon, and the ambiguity is factual rather than a doubtful contract term, so In dubio pro consumidor does not apply.
The image-verified corrections to the Coelsa ID, destination CBU and transfer date confirm valid execution and a destination-side problem, and do not alter the result. The vote is Rule for Lemon.</t>
  </si>
  <si>
    <t xml:space="preserve">Javier (Goliate); two transfers 21/06/2024 22:54 and 23:18</t>
  </si>
  <si>
    <t xml:space="preserve">Transfer not credited (ARS out to user's own CVU)</t>
  </si>
  <si>
    <t xml:space="preserve">Two transfers of 21/06/2024 (ARS 12,000 and ARS 20,000) to another account of his own never arrived, while a later transfer did.</t>
  </si>
  <si>
    <t xml:space="preserve">Both transfers left Lemon and were confirmed COMPLETED by COELSA; the funds are now with the destination account provider, to whom any non-crediting must be claimed.</t>
  </si>
  <si>
    <t xml:space="preserve">User's two Lemon receipts (primary) with Coelsa IDs XJ8G7V95J3R4X1ML9EMPYR and 86VRPQ2GD8YO8W4G2GLY0M; Lemon's COELSA query table (primary) showing both IDs with completado = S; the two sets match exactly; not rebutted.</t>
  </si>
  <si>
    <t xml:space="preserve">Opened Descargo LEMON Caso 38.assets/page_0001.jpeg; COELSA table reads CASHO XJ8G7V95J3R4X1ML9EMPYR (21/6/2024 23:54, S) and CASHO 86VRPQ2GD8YO8W4G2GLY0M (22/6/2024 00:18, S), matching the user's two receipts exactly; matches OCR, no discrepancy.</t>
  </si>
  <si>
    <t xml:space="preserve">Both COELSA IDs on the user's own receipts are corroborated by Lemon's COELSA query, which marks both transfers COMPLETED. The authoritative clearing-house record therefore shows the funds left Lemon and were routed to the destination provider, so any delay in final crediting is a destination-provider matter outside Lemon's control. Lemon executed validly-authorised transfers and explained the status transparently (Informacion / Buena Fe). No violation; the doubt is factual, not contractual.</t>
  </si>
  <si>
    <t xml:space="preserve">The case turns on the COELSA records, the authoritative tracing token for these transfers, and both parties' evidence agrees: the two Coelsa IDs on the user's receipts (XJ8G7V95J3R4X1ML9EMPYR and 86VRPQ2GD8YO8W4G2GLY0M) appear in Lemon's COELSA query with completado = S, confirming both transfers were completed and routed to the destination account provider.
Once a transfer is COELSA-confirmed as leaving Lemon and reaching the destination provider, any failure to finalise crediting is a matter for that provider, not Lemon. Lemon satisfied Informacion and Buena Fe by consulting COELSA, sharing the confirmation, and explaining where the funds sit. There is no buried term, undisclosed fee, or unauthorised transaction, and the doubt is factual rather than contractual, so In dubio pro consumidor is not engaged.
On the balance of the evidence no Lemon-side failure is shown. The vote is Rule for Lemon.</t>
  </si>
  <si>
    <t xml:space="preserve">Wenceslao Inarte; external-exchange withdrawal 2024-06-18, 55 USDT</t>
  </si>
  <si>
    <t xml:space="preserve">Crypto deposit not credited (alleged salary deposit)</t>
  </si>
  <si>
    <t xml:space="preserve">His employer sent his salary (crypto) to his Lemon account; after 12 business days it had not been credited.</t>
  </si>
  <si>
    <t xml:space="preserve">It asked the user for the transaction Hash/ID, network and token to verify the transfer on-chain, and the user never provided this, making tracing impossible.</t>
  </si>
  <si>
    <t xml:space="preserve">User (claimant) must show the funds reached Lemon and were not credited; default = Lemon's action stands.</t>
  </si>
  <si>
    <t xml:space="preserve">User's external-exchange "Detalhes do Saque" screenshot (primary as to the external withdrawal) showing Status Concluído, 55 USDT, Rede TRX, and crucially "Nota 178907567905 Off-chain" with no on-chain hash; Lemon support chat (secondary) clearly requesting Hash/ID, Red, Token; not rebutted.</t>
  </si>
  <si>
    <t xml:space="preserve">Opened Descargo USUARIO caso 39.assets/page_0001.jpeg; the withdrawal note reads "178907567905 Off-chain" with destination address TWJXjR...55UpAL on Rede TRX and no transaction hash; the source UI itself shows links "Por que meu saque ainda não foi creditado?" and "Denunciar golpe"; matches OCR, no discrepancy.</t>
  </si>
  <si>
    <t xml:space="preserve">The user's own evidence shows an off-chain internal withdrawal from an external exchange with no on-chain transaction hash, which would not produce a verifiable on-chain deposit to a Lemon address unless the destination were registered within that exchange. There is thus no proof the funds reached Lemon, and the burden is unmet. Lemon acted transparently and in good faith (Informacion / Buena Fe) by clearly requesting the Hash/ID, network and token with an explanatory example, which the user never supplied to support or in this claim. No Lemon information, transparency or good-faith violation is shown.</t>
  </si>
  <si>
    <t xml:space="preserve">The user bears the burden of showing the funds reached Lemon and were not credited, and his own evidence undercuts the claim: the external-exchange withdrawal is marked "Off-chain" with a "Nota" rather than an on-chain transaction hash, so it does not establish an on-chain deposit to any Lemon address; the source exchange's own interface even surfaces "why hasn't my withdrawal been credited" and "report scam" prompts.
Lemon satisfied Informacion and Buena Fe by clearly requesting the transaction Hash/ID, network and token needed to trace the movement on the blockchain, with a worked example, and the unrebutted record shows the user provided none of this to support or in this proceeding. There is no undisclosed fee, misleading communication, or unauthorised transaction by Lemon, and the gap is the user's missing on-chain proof, not contractual ambiguity.
On the balance of the evidence a Lemon-side failure is not made out. The vote is Rule for Lemon.</t>
  </si>
  <si>
    <t xml:space="preserve">n/a (Caso 40; crypto send jul. 03 2024; tx 0x432f8a64f1de132c87059ebe1555e2cdafc2a1d7d4aa720533df4dbb91f17b1f)</t>
  </si>
  <si>
    <t xml:space="preserve">Crypto transfer not credited — wrong destination address</t>
  </si>
  <si>
    <t xml:space="preserve">A USDC transfer left his account but never credited, so Lemon should make him whole.</t>
  </si>
  <si>
    <t xml:space="preserve">The on-chain USDC transfer executed successfully to the address the user himself specified, which differs from his own receive address, so the loss is the user's wrong-address error.</t>
  </si>
  <si>
    <t xml:space="preserve">Información; Transparencia; Buena Fe; Protección; in dubio pro consumidor</t>
  </si>
  <si>
    <t xml:space="preserve">User (claimant) must show a Lemon policy violation more likely than not; default = Lemon's action stands.</t>
  </si>
  <si>
    <t xml:space="preserve">Lemon screenshot of the user's own chat showing his real USDC address (0x935Ff2D2...4F2DE4) vs. the reported destination 0x087000A3...E5d60E; user's own "Con éxito" send screenshot to 0xa3...9018 — primary, unrebutted.</t>
  </si>
  <si>
    <t xml:space="preserve">Verified Descargo Lemon Caso 40 page_0001.jpeg — user's receive address reads 0x935Ff2D2340Af1D10A69107A05f224673c4F2DE4 (Optimism), distinct from the destination 0x087000A3...; user's page_0002 send shows success and $0 cost. No .md-vs-image discrepancy.</t>
  </si>
  <si>
    <t xml:space="preserve">The transaction hash resolves to a confirmed, successful on-chain transfer; the funds simply went to an address the user nominated that is not his own receive address. Crypto sends are irreversible and the destination is set by the user, not Lemon. There is no unclear or misleading Lemon communication, no hidden term, and no Lemon-side execution error — the principles of Información/Transparencia are not engaged because nothing Lemon published caused the error.</t>
  </si>
  <si>
    <t xml:space="preserve">The loss derives from the user's own authorised action, not from a breach by Lemon. According to the screenshots submitted by the user himself, the USDC transaction (hash 0x432f8a...) executed successfully on the network, and the destination address reported (0x087000A3...E5d60E) does not match his own receive address (0x935Ff2D2...4F2DE4), visible in his chat. The send went to a wrong address entered by the user.
Under the Interpretation Policy, the principles of Information (Información) and Transparency (Transparencia) require that Lemon not mislead or omit material data; here there is no Lemon communication that induced the error, but rather a destination datum set by the user. A confirmed on-chain transfer is immutable and Lemon cannot reverse it. The user's submission is generic and does not identify any violation.
There is no ambiguity that would trigger in dubio pro consumidor, since the determining fact —the discrepancy between the user's own address and the destination address— is established and unrebutted. Lemon's action stands.</t>
  </si>
  <si>
    <t xml:space="preserve">n/a (Caso 41; ARS 33.500 transfer 04 Jul 2024 14:08; COELSA ID LOEJWV9J0WZV746Z2QMD0G)</t>
  </si>
  <si>
    <t xml:space="preserve">FIAT transfer not credited at destination</t>
  </si>
  <si>
    <t xml:space="preserve">A transfer was debited from his account but never reached the recipient, so Lemon is liable.</t>
  </si>
  <si>
    <t xml:space="preserve">The transfer left Lemon and is COMPLETADO per COELSA; the recipient account is the user's own (same name/CUIT), and any non-crediting must be claimed from the destination provider.</t>
  </si>
  <si>
    <t xml:space="preserve">Información; Buena Fe; Protección; in dubio pro consumidor</t>
  </si>
  <si>
    <t xml:space="preserve">User (claimant) must show more likely than not that Lemon failed; default = Lemon's action stands.</t>
  </si>
  <si>
    <t xml:space="preserve">COELSA panel showing CASHOUT "Completado" for ID LOEJWV9J0WZV746Z2QMD0G, -33500 ARS, origin DIGIFIN; user's own receipt naming sender and recipient both "Julian Yael Roldan Maldonado" — primary, unrebutted.</t>
  </si>
  <si>
    <t xml:space="preserve">No decisive token required image verification — both submissions agree on the COELSA ID and amount (ARS 33.500), and the dispositive fact (COELSA status COMPLETADO) is consistent across the user's receipt and Lemon's panel; case is lopsided.</t>
  </si>
  <si>
    <t xml:space="preserve">The user's own comprobante shows sender and destinatario are the same person (same CUIT 20456917896), i.e. a self-transfer, and COELSA — the BCRA-authorised clearing house — records the operation as completed. The funds left Lemon's domain and are in the destination provider's hands. Lemon disclosed the COELSA ID on the receipt, satisfying the Información principle, and acted in good faith by tracing the status.</t>
  </si>
  <si>
    <t xml:space="preserve">The user's own receipt and the COELSA panel submitted by Lemon agree that the transfer (COELSA ID LOEJWV9J0WZV746Z2QMD0G, ARS 33.500) was processed and appears as "Completed". The operation left Lemon toward the destination account, which is owned by the user himself (same name and CUIT). There is no debit without a counterpart, nor any retention by Lemon.
Pursuant to the Interpretation Policy, Lemon complied with the principle of Information (Información) by providing the COELSA ID on the receipt, allowing the operation to be traced, and acted in good faith by consulting the clearing house. Any subsequent crediting delay is the responsibility of the receiving account's provider, external to Lemon.
There is no ambiguity or material omission by Lemon that would trigger the pro-consumer principle. The claim is rejected on the basis of unrebutted primary evidence; Lemon's position stands.</t>
  </si>
  <si>
    <t xml:space="preserve">n/a (Caso 42; USDT deposit 04 Jul 2024; tx 14e2bd47...8b244)</t>
  </si>
  <si>
    <t xml:space="preserve">Crypto deposit not credited — wrong/non-Lemon destination address</t>
  </si>
  <si>
    <t xml:space="preserve">A USDT transfer to his Lemon account was never credited, so Lemon must answer for it.</t>
  </si>
  <si>
    <t xml:space="preserve">Per the user's own hash, the funds went to TCnCkZtD8...9FMXA8, which is not Lemon's TRC20 deposit address (TTdhPQwUDcXgR8J9L4oqLbnbMiKDVEGejp); the user sent to a wrong address and Lemon cannot recover it.</t>
  </si>
  <si>
    <t xml:space="preserve">User (claimant) must show more likely than not that funds reached a Lemon-controlled address and Lemon failed to credit; default = Lemon's action stands.</t>
  </si>
  <si>
    <t xml:space="preserve">User's blockchain-explorer table showing destination beginning TCnCkZtD8...9FMXA8; Lemon's statement that this differs from its assigned TRC20 deposit address — primary (user's own tx) vs secondary (Lemon assertion), unrebutted by user.</t>
  </si>
  <si>
    <t xml:space="preserve">Opened Descargo USUARIO caso 42 page_0001.jpeg (table flagged "not transcribed by OCR"): destination/hash are truncated and partly obscured by red annotation arrows; the visible destination prefix "TCnCkZ..." is consistent with Lemon's stated TCnCkZtD8myiNYpfYVSNBZhm21DS9FMXA8 and does not match Lemon's deposit address. No discrepancy that changes the outcome; the full hash/address could not be read character-by-character, so reliance rests on Lemon's unrebutted statement of its own deposit address.</t>
  </si>
  <si>
    <t xml:space="preserve">Lemon's unrebutted account is that the destination of the user's own transaction is not the deposit address Lemon assigned to him; the user offered nothing showing the funds arrived at a Lemon-controlled address. Crypto sends are irreversible and the destination is chosen by the sender. There is no evidence Lemon misstated the deposit address or otherwise breached Información/Transparencia.</t>
  </si>
  <si>
    <t xml:space="preserve">The user's own evidence shows that the USDT transaction was directed to an address (TCnCkZtD8...9FMXA8) which, according to Lemon's unrebutted submission, is not the TRC20 deposit address that Lemon assigned to him (TTdhPQwUDcXgR8J9L4oqLbnbMiKDVEGejp). The user did not provide evidence that the funds reached a wallet controlled by Lemon.
Under the Interpretation Policy, the principles of Information (Información) and Transparency (Transparencia) are satisfied when Lemon correctly communicates the deposit address; there is no indication that Lemon falsified it. The accuracy of the sending address falls on the user, and a transaction confirmed on the blockchain is immutable and irreversible for Lemon.
To say that "the funds never arrived" without establishing that they were sent to the correct address does not satisfy the claimant's burden. There is no ambiguity attributable to Lemon that would trigger in dubio pro consumidor. The rejection stands.</t>
  </si>
  <si>
    <t xml:space="preserve">n/a (Caso 43; USDT withdrawal 04 Jul 2024 10:29; Lemontag fabri.santana3; tx 0x10e5795547884028...842d1379f)</t>
  </si>
  <si>
    <t xml:space="preserve">Crypto withdrawal not credited at receiving platform — network mismatch (BEP20 vs ERC-20)</t>
  </si>
  <si>
    <t xml:space="preserve">A USDT withdrawal he made was never credited to his destination (Libertex) account, so Lemon should resolve it.</t>
  </si>
  <si>
    <t xml:space="preserve">The withdrawal completed successfully on-chain to the address the user specified, via BEP20; the receiving platform (Libertex) does not accept that network, which is outside Lemon's control.</t>
  </si>
  <si>
    <t xml:space="preserve">User's own page-2 Lemon screenshot (Red: BNB Chain BEP20) and page-3 Libertex deposit screen warning "Esta dirección es solo para Ethereum ERC-20 USDT ... Enviar cualquier otra moneda ... puede concluir en una pérdida de tu depósito" — primary, user-supplied, decisive.</t>
  </si>
  <si>
    <t xml:space="preserve">Verified Descargo USUARIO caso 43 page_0003.jpeg — Libertex deposit screen clearly shows método de pago "Tether USDT ERC-20", deposit address 0xD4712fe0F7a320f3fAA474E5eD1E7D8a9808823F, and the red warning that the address is ERC-20 only and other networks may lose funds; user's page-2 withdrawal shows Red "BNB Chain (BEP20)" to the same address. Confirms a network mismatch chosen by the user. No .md-vs-image discrepancy.</t>
  </si>
  <si>
    <t xml:space="preserve">The user's own evidence proves he sent BEP20 USDT to an address Libertex designated for ERC-20 only, with an explicit on-screen warning. Lemon executed the withdrawal correctly to the address and network the user selected (hash confirmed, status Completada). The loss arises from the user's network selection and the third-party platform's policy, not from any Lemon misrepresentation; the relevant warning was presented to the user by the receiving platform.</t>
  </si>
  <si>
    <t xml:space="preserve">The user's own screenshots demonstrate that the USDT withdrawal was made via the BNB Chain (BEP20) network to an address that the receiving platform (Libertex) reserves exclusively for ERC-20, with an express warning of possible loss if another network is sent. Lemon executed the withdrawal in accordance with the address and network indicated by the user, and the transaction appears completed on the blockchain (hash 0x10e5795...).
Pursuant to the Interpretation Policy, no violation of the principles of Information (Información) or Transparency (Transparencia) by Lemon is found: the decisive warning about the network came from the screen of the receiving platform itself and the choice of network is the user's. Lemon does not control the policies of external platforms, nor can it reverse an on-chain transaction.
The user does not establish a breach by Lemon; the cause of the non-crediting is the network incompatibility and Libertex's policy. There is no ambiguity attributable to Lemon. The rejection stands.</t>
  </si>
  <si>
    <t xml:space="preserve">n/a (Caso 44; ARS 88.000 transfer 06 Jul 2024 02:59; COELSA ID ORD6LEN8Q60MV41O9M1Y30; Lemon descargo header mislabeled "CASO: 37")</t>
  </si>
  <si>
    <t xml:space="preserve">FIAT transfer to wrong alias — third-party-induced user error</t>
  </si>
  <si>
    <t xml:space="preserve">He transferred money to an unknown person due to a wrong alias supplied by a third party and asks Lemon to recover the funds.</t>
  </si>
  <si>
    <t xml:space="preserve">The user himself authorised and confirmed the transfer based on data he entered; T&amp;C (clause 3(e)) place data-accuracy on the user, and a completed transfer is irreversible.</t>
  </si>
  <si>
    <t xml:space="preserve">User's own admission of wrong-alias transfer plus his receipt to "Barbara Mercedes Mendez Navarro" (Mercado Pago) — primary, self-incriminating as to authorisation, unrebutted.</t>
  </si>
  <si>
    <t xml:space="preserve">No decisive token required image verification — the user's own descargo expressly admits sending "a una persona desconocida debido a un error en el alias proporcionado por un tercero," which alone disposes of the case regardless of exact CBU/amount; case is lopsided. (Lemon's header "CASO: 37" is a clerical typo; the body facts match Case 44.)</t>
  </si>
  <si>
    <t xml:space="preserve">The user voluntarily entered the alias and confirmed the transfer; the error originated from a third party's information, not from any Lemon misstatement. Lemon disclosed the recipient data on the confirmation screen and receipt, satisfying Información, and the transfer was validly authorised before execution. The T&amp;C allocation of data-accuracy to the sender does not contradict the policy principles — it restates the ordinary consumer duty to verify the payee, and Lemon's interface showed the destinatario before confirmation.</t>
  </si>
  <si>
    <t xml:space="preserve">The user himself acknowledges that he transferred to an unknown person due to an error in the alias supplied by a third party. The operation was entered, confirmed and completed by the user; it is not an unauthorised transaction or a Lemon error. The receipt shows the recipient before confirmation, so the principle of Information (Información) was satisfied.
Under the Interpretation Policy, the principle of Good Faith (Buena Fe) and that of Protection (Protección) do not oblige Lemon to bear losses derived from erroneous data entered by the user at a third party's direction. Clause 3(e) of the T&amp;C, which assigns the accuracy of the data to the user, does not contradict the court's principles: it reproduces the consumer's minimum diligence in verifying the payee.
There is no ambiguity in Lemon's communication that would trigger in dubio pro consumidor, and the completed fiat transfer is irreversible. The loss is attributable to the user's error induced by a third party. Lemon's position stands.</t>
  </si>
  <si>
    <t xml:space="preserve">n/a (Caso 45; user Joaquín Ivan Almirón; "Problemas FIAT")</t>
  </si>
  <si>
    <t xml:space="preserve">FIAT transfers allegedly not credited — no evidence submitted</t>
  </si>
  <si>
    <t xml:space="preserve">His transfers were not credited at destination and he wants the funds recovered or the reason explained.</t>
  </si>
  <si>
    <t xml:space="preserve">The user provided no transaction details (date, amount, recipient, hash/ID) despite repeated support requests, so the claim cannot be investigated.</t>
  </si>
  <si>
    <t xml:space="preserve">Información; Buena Fe; Protección; Educación</t>
  </si>
  <si>
    <t xml:space="preserve">User (claimant) bears the burden; with no evidence, default = Lemon's action stands.</t>
  </si>
  <si>
    <t xml:space="preserve">Lemon support-chat screenshots showing repeated requests for Hash/ID, network and token, with no substantive reply from the user; user attached "no pruebas" — secondary (chat) but unrebutted; user side is effectively empty.</t>
  </si>
  <si>
    <t xml:space="preserve">No decisive token required image verification — the user's descargo states "El usuario no añadió pruebas," and Lemon's narrative of unanswered data requests is unrebutted; nothing turns on a single transcribed token.</t>
  </si>
  <si>
    <t xml:space="preserve">The user supplied no dates, amounts, recipients, or transaction identifiers, and Lemon's chats show it asked for exactly that and got no usable answer. With no material evidence of any debit-without-credit or Lemon-side failure, the claimant has not met the balance-of-evidence standard. Lemon's conduct — prompt, repeated, informative support requests — affirmatively satisfies the Información and Buena Fe principles rather than breaching them.</t>
  </si>
  <si>
    <t xml:space="preserve">The user provided no evidence whatsoever ("The user did not add evidence") nor the minimum data —date, amount, recipient, hash/ID— to investigate the claim. The burden of demonstrating, on the balance of probabilities, a breach by Lemon falls on the claimant, and here there is no material support.
Pursuant to the Interpretation Policy, Lemon's screenshots evidence that support repeatedly requested the necessary information (Hash/ID, network, token) and guided the user, fulfilling the principles of Information (Información), Good Faith (Buena Fe) and Education (Educación). No misleading practice, material omission or opaque blocking is identified.
Without evidence of a debit without crediting or of a Lemon failure, the pro-consumer principle is not triggered by mere imprecision. Lemon's action stands.</t>
  </si>
  <si>
    <t xml:space="preserve">n/a (Caso 46; user "Joaquín"/Zapata Joaquin; task scam 08-09 Jul 2024; transfers ARS 94.831 16:07 and ARS 269.000 17:10)</t>
  </si>
  <si>
    <t xml:space="preserve">Third-party "task/recharge" employment scam (pig-butchering) — voluntary transfers to scammer</t>
  </si>
  <si>
    <t xml:space="preserve">He was the victim of a scam and asks Lemon to reimburse the funds he transferred to a fraudulent account.</t>
  </si>
  <si>
    <t xml:space="preserve">The user himself acknowledges being scammed by an unrelated third party and voluntarily made the transfers; Lemon merely executed his instructions and publishes security guidance, so it bears no responsibility.</t>
  </si>
  <si>
    <t xml:space="preserve">Protección; Información; Transparencia; Buena Fe; Educación; in dubio pro consumidor</t>
  </si>
  <si>
    <t xml:space="preserve">User (claimant) must show more likely than not a Lemon violation or unauthorised Lemon-side action; default = Lemon's action stands.</t>
  </si>
  <si>
    <t xml:space="preserve">User's own 69-page Telegram log with "Gerente senior-018" coaching him through a fake "Mercado Libre"/mall9999.com task platform and instructing transfers to third-party CVUs (e.g. Adriana Carla Gonzalez CVU 0000085700274017998726); receipts ARS 94.831 and ARS 269.000 — primary, user-supplied, decisive and self-confirming.</t>
  </si>
  <si>
    <t xml:space="preserve">Read both user files and the full pruebas log (pages 1-69). Decisive facts (voluntary transfers, third-party scammer, off-platform Telegram coaching, fake "tax/declaración" extortion) are corroborated across dozens of pages; the two transcribed receipt amounts (ARS 94.831,00 at 16:07; ARS 269.000,00 at 17:10) and the scammer CVU are consistent in text. In-situ "not transcribed by OCR" markers on pages 11, 34 and 60 cover the embedded transfer-receipt recipient details and the fake "Mercado Libre tax form" body; none could alter the dispositive fact that the user voluntarily sent funds to third-party accounts at a scammer's direction, so no single token changes the outcome.</t>
  </si>
  <si>
    <t xml:space="preserve">The evidence shows a classic advance-fee/task scam executed entirely off-platform via Telegram; the user voluntarily authorised each transfer to third-party accounts he was told were for "recharging" tasks, then was extorted for a fake "40% tax." There is no unauthorised Lemon transaction, no Lemon-side security breach, and no misleading Lemon communication — Lemon executed validly-authorised, irreversible transfers and maintains public security guidance (Instagram "Seguridad" highlights). Per the unauthorized-transaction orientation, this is category (ii): a socially-engineered, user-authorised transfer to a third-party scammer, which resolves for Lemon absent a clear Lemon info/protection failure, and none is shown.</t>
  </si>
  <si>
    <t xml:space="preserve">The user's own extensive evidence demonstrates that he was the victim of a "tasks/recharges" scam orchestrated by a third party ("Gerente senior-018") through Telegram and a fake platform (mall9999.com with the appearance of "Mercado Libre"), wholly unrelated to Lemon. The user voluntarily made the transfers (ARS 94.831 and ARS 269.000) to third-party accounts (e.g. CVU 0000085700274017998726) following the scammer's instructions, and was then pressured with a fake "40% tax".
Pursuant to the Interpretation Policy, there was no unauthorised transaction or security failure within the app: Lemon only executed valid user instructions regarding irreversible transfers, and it maintains security advice on its official channels (the "Seguridad" highlight). No misleading advertising, material omission or unfair practice by Lemon is found that would causally link the loss to the company.
The principle of Protection (Protección) and in dubio pro consumidor do not transform Lemon into a guarantor against a third party's fraud when the user authorised the operations. The loss is attributable to the scammer, not to Lemon. The rejection stands.</t>
  </si>
  <si>
    <t xml:space="preserve">n/a (Caso 47; payment $49.700 06 Jul 2024 11:00; Mercado Pago op. 81913237607; payee Braian Daniel Martinez, Lemon CVU 0000168300000014097610)</t>
  </si>
  <si>
    <t xml:space="preserve">Third-party seller scam — goods paid for, never delivered (scammer used a Lemon account)</t>
  </si>
  <si>
    <t xml:space="preserve">A person using a Lemon account scammed him (paid for clothing that never arrived) and Lemon should be held responsible / take action.</t>
  </si>
  <si>
    <t xml:space="preserve">The user acknowledges being scammed by an unrelated third party and voluntarily made the payment; Lemon merely executed the instruction and provides security guidance, so it bears no responsibility.</t>
  </si>
  <si>
    <t xml:space="preserve">Protección; Información; Transparencia; Buena Fe; in dubio pro consumidor</t>
  </si>
  <si>
    <t xml:space="preserve">User (claimant) must show more likely than not a Lemon violation; default = Lemon's action stands.</t>
  </si>
  <si>
    <t xml:space="preserve">User's WhatsApp chat with "INDUMENTARIA_FAC..." giving alias estro.alumbre.LEMON / CBU 0000168300000014097610 (Braian Daniel Martinez) and his Mercado Pago receipt for $49.700 to that Lemon CVU, followed by the seller going silent — primary, user-supplied; shows voluntary payment to a third party.</t>
  </si>
  <si>
    <t xml:space="preserve">No decisive token required image verification — the user's own narrative and receipts establish a voluntary purchase payment to a third-party seller who then failed to deliver; the dispositive fact (third-party non-delivery, not a Lemon act) does not hinge on any single transcribed token, and the case is lopsided.</t>
  </si>
  <si>
    <t xml:space="preserve">The user voluntarily paid a third-party seller for goods; the seller (holding a Lemon CVU) took the money and disappeared. This is a third-party non-delivery scam, not a Lemon execution error or misrepresentation. Lemon did not advertise the goods, set the terms, or breach any Información/Transparencia duty toward the buyer, and the payment was validly authorised by the user from his own (Mercado Pago) funds. That the fraudster received funds into a Lemon account does not make Lemon the wrongdoer; nothing in the policy makes the platform a guarantor of a counterparty's delivery.</t>
  </si>
  <si>
    <t xml:space="preserve">The user's own evidence shows a voluntary payment of $49.700 for clothing to a third-party seller ("INDUMENTARIA_FAC..."/Braian Daniel Martinez, Lemon CVU 0000168300000014097610) who then stopped responding and did not deliver the goods. This is a breach by a third party, not an act of Lemon.
Pursuant to the Interpretation Policy, Lemon did not engage in misleading advertising or an omission of information toward the buyer: it did not offer the product or set the terms of the sale, and the payment was authorised by the user from his own funds. The fact that the scammer holds an account at Lemon does not make the company responsible for the seller's breach.
The principles of Protection (Protección) and in dubio pro consumidor do not establish Lemon as a guarantor of delivery by a third party when the user paid voluntarily. The loss is attributable to the fraudulent seller. The rejection of the claim stands.</t>
  </si>
  <si>
    <t xml:space="preserve">ID 1143366; Trx 9c0fd6a9-7a49-46a6-843e-94a71ba74168; 15/7/2024 09:26</t>
  </si>
  <si>
    <t xml:space="preserve">Crypto purchase — ARS balance drop / buy-spread &amp; valuation</t>
  </si>
  <si>
    <t xml:space="preserve">After buying ETH his ARS balance unexpectedly fell ~20,000 ARS (from ~427,000 to ~407,170) with no clear explanation.</t>
  </si>
  <si>
    <t xml:space="preserve">The figures are inexact and the drop reflects normal balance variation (buy-spread / ARS valuation), as explained in a pinned Lemon tweet; claim rejected.</t>
  </si>
  <si>
    <t xml:space="preserve">Informacion; Transparencia; Educacion; Buena Fe</t>
  </si>
  <si>
    <t xml:space="preserve">User (claimant) must show a policy violation more likely than not; default = Lemon's action stands.</t>
  </si>
  <si>
    <t xml:space="preserve">Lemon back-office record (primary): purchase of 0.00553492 ETH for 26,905.12 ARS, fee 269.05 ARS, completed; user's own screenshots show ETH at the same 3,353.13 USD buy price; not rebutted.</t>
  </si>
  <si>
    <t xml:space="preserve">Read Descargo Lemon 48 page_0001.jpeg — Trx ID, fee 269.05 ARS, rate 3353.56, date 15/7/2024 09:26:08 confirmed; matches .md.</t>
  </si>
  <si>
    <t xml:space="preserve">The user's own movements screen records the same buy price Lemon used; the ARS-denominated balance falls immediately after a purchase because the displayed market quote is the lower sell/mid price (spread) and the peso value is recomputed, not because Lemon levied a hidden ~20,000 ARS "discount." The disclosed fee was only 269.05 ARS. The transaction was executed exactly as instructed and Lemon offered a public explanation; no information, transparency or good-faith breach is shown. The shortfall stems from market mechanics the user misunderstood, not a Lemon violation.</t>
  </si>
  <si>
    <t xml:space="preserve">The user's submission and the screenshots he himself provides show that the ETH purchase was executed at the prevailing market price (3,353.13 USD), with a disclosed fee of only 269.05 ARS. The drop in the peso balance is not a hidden "discount" of ~20,000 ARS, but rather the normal effect of the buy-spread and the peso valuation of an asset priced in dollars — a phenomenon that Lemon explains publicly. No improper charge whatsoever is established.
Under the principles of Information and Transparency, what is required is that the operation and the charges be clear: Lemon's primary record (Trx 9c0fd6a9…, fee 269.05 ARS, date 15/7/2024) coincides with the user's own screenshot and was verified against the page image. There is no genuine ambiguity that would trigger in dubio pro consumidor; the loss derives from a misunderstanding of market mechanics (Education), not from any conduct by Lemon.
In accordance with the burden of proof, the user did not demonstrate a violation more likely than not. The matter is resolved in favor of Lemon.</t>
  </si>
  <si>
    <t xml:space="preserve">$matiasnquerci (Smatiasanquersi); balance 3.066.824,47 -&gt; 2.967.134,64 ARS</t>
  </si>
  <si>
    <t xml:space="preserve">Crypto holdings — ARS balance drop despite USD price rise (valuation)</t>
  </si>
  <si>
    <t xml:space="preserve">Despite ~6% rises in BTC/ETH his total ARS balance fell from ~3.1M to under 3M, so gains are not reflected while losses register instantly.</t>
  </si>
  <si>
    <t xml:space="preserve">Figures are inexact; the variation is explained by the same pinned tweet plus the fact that USD-priced assets must also be read through the ARS/USD exchange-rate change; claim rejected.</t>
  </si>
  <si>
    <t xml:space="preserve">User's two screenshots (primary) show identical crypto quantities (0.0204004 BTC, 0.27741189 ETH) at both timestamps — no transaction occurred; the ARS total fell purely on valuation; not rebutted.</t>
  </si>
  <si>
    <t xml:space="preserve">No decisive token required image verification — the dispositive fact (unchanged holdings; ARS-vs-USD valuation) appears identically in both parties' .md transcripts and turns on no single OCR'd figure.</t>
  </si>
  <si>
    <t xml:space="preserve">The holdings are unchanged between the two captures, so nothing was debited; the only variable is the peso valuation of dollar-priced assets. The displayed +6% is the USD price move, whereas the headline total is in ARS, which can fall when the dollar/peso relation moves — a genuine market/FX effect, not a Lemon charge. Lemon executed nothing here and gave a transparent explanation. No information or transparency breach; the matter is educational.</t>
  </si>
  <si>
    <t xml:space="preserve">The two screenshots provided by the user show exactly the same quantities of BTC (0.0204004) and ETH (0.27741189) at both moments: there was no transaction or debit whatsoever. The only difference is the peso valuation of the portfolio, which the user reads through a percentage expressed in dollars. The discrepancy he reports is, therefore, an ARS/USD exchange-rate effect, not a loss caused by Lemon.
The principles of Information and Transparency are satisfied: Lemon explains how the total balance varies and refers to public material. There is no ambiguity in any communication or contractual term that would enable in dubio pro consumidor; this is a matter of financial Education (Education). Lemon's good faith does not appear compromised.
The user, who is the one seeking to change the default state, did not demonstrate a violation of any principle with a sufficient degree of probability. The matter is resolved in favor of Lemon.</t>
  </si>
  <si>
    <t xml:space="preserve">Pago de Servicios VISA; 12/6/2024 11:57:26; Auth 59864503</t>
  </si>
  <si>
    <t xml:space="preserve">Bill/credit-card payment via app — payment allegedly not applied by receiver</t>
  </si>
  <si>
    <t xml:space="preserve">A 40,000 ARS payment to his Visa credit card made via Lemon never posted; his bank shows no payment, harming his credit history.</t>
  </si>
  <si>
    <t xml:space="preserve">The payment was processed and sent to the entity via provider TAPI (full TAPI receipt with authorization code); once processed, crediting is Visa's responsibility, so the user must resolve with Visa using the auth code; claim rejected.</t>
  </si>
  <si>
    <t xml:space="preserve">Informacion; Transparencia; Buena Fe; Proteccion</t>
  </si>
  <si>
    <t xml:space="preserve">User (claimant) must show a Lemon-side failure more likely than not; default = Lemon's action stands.</t>
  </si>
  <si>
    <t xml:space="preserve">TAPI "Comprobante de Pago" (primary): VISA, $40000.00, 12/6/2024 11:57:26, control 2961, transacción 820424748800, Cod. Autorización 59864503; matches the user's own confirmation screen; not rebutted.</t>
  </si>
  <si>
    <t xml:space="preserve">Read Descargo Lemon 50 page_0001.jpeg — authorization code 59864503, importe $40000.00, date/time 12/6/2024 11:57:26 confirmed; matches .md.</t>
  </si>
  <si>
    <t xml:space="preserve">Lemon's primary provider receipt shows the payment was executed and authorised, and the user's own screenshot corroborates the same transaction/control number, so Lemon performed and disclosed its part transparently. Once the agent of collection (TAPI) confirms the payment, posting to the card is the receiving entity's (Visa's) duty — outside Lemon's control. Lemon furnished the authorization code precisely so the user can trace it with Visa, satisfying Informacion and Buena Fe. No Lemon violation is shown; any non-posting lies with the third-party entity.</t>
  </si>
  <si>
    <t xml:space="preserve">The primary evidence —the TAPI provider receipt with authorization code 59864503, control number 2961 and transaction 820424748800— establishes that the $40,000 payment to VISA was processed and sent to the entity on 12/6/2024 at 11:57:26. The user's own screenshot reproduces those same data, so execution by Lemon is beyond dispute and was verified against the page image.
In accordance with the principles of Information and Transparency, Lemon clearly communicated the result of the operation and provided the authorization code so that the user can verify the status of the payment directly with VISA. Once the payment is confirmed by the agent of collection, crediting to the card depends on the receiving entity, not on Lemon.
No evidence of a failure attributable to Lemon was found; the inconvenience, if any, corresponds to a third party (VISA). The user does not satisfy his burden of proof. The matter is resolved in favor of Lemon.</t>
  </si>
  <si>
    <t xml:space="preserve">Gastón Riveros, lemontag rrgaston78, ID 1491234; 26/7/2024 13:08; ARS 10.000</t>
  </si>
  <si>
    <t xml:space="preserve">Mistaken outbound transfer to wrong recipient (user-authorised)</t>
  </si>
  <si>
    <t xml:space="preserve">A transfer was sent in error to the wrong recipient and he asks Lemon to refund the amount.</t>
  </si>
  <si>
    <t xml:space="preserve">The transfer was sent to the account the user instructed; fiat transfers are irreversible and Lemon cannot recover sent funds; per Digifin T&amp;C 3(e) the user is responsible for verifying the recipient's data, and the app requires a slide-to-confirm; claim rejected.</t>
  </si>
  <si>
    <t xml:space="preserve">Buena Fe; Informacion; Transparencia; in dubio pro consumidor (tested)</t>
  </si>
  <si>
    <t xml:space="preserve">User's own transfer receipt (primary): ARS 10,000 to "Rodolfo Jesus Ramon El Ahmed," CUIT 20175588540, Mercado Pago, 26 Jul 2024 13:08 — a third party the user entered; Lemon back-office shows the same completed VIRTUAL_WITHDRAWAL; not rebutted.</t>
  </si>
  <si>
    <t xml:space="preserve">Read Descargo USUARIO 51 page_0002.jpeg — recipient "Rodolfo Jesus Ramon El Ahmed," CUIT 20175588540, Banco destino Mercado Pago, ARS 10.000,00, 26 Julio 2024 13:08 confirmed. (Trx/COELSA IDs differ slightly between user receipt and Lemon back-office due to OCR garble of the same codes; not decisive — authorship/authorisation is the dispositive fact.)</t>
  </si>
  <si>
    <t xml:space="preserve">The user's own receipt shows a transfer he instructed to a named third party's CBU, executed and completed per his instructions, and the app required an explicit confirmation. Under the fiat-operator T&amp;C (clause 3(e)) the user bears responsibility for the accuracy of destination data; this term does not contradict the policy principles (it allocates an irreversibility risk inherent to fiat rails, with adequate warning and confirmation). The loss stems from the user's own authorised action, not a Lemon security failure or unclear communication, so in dubio pro consumidor is not engaged. No Lemon violation.</t>
  </si>
  <si>
    <t xml:space="preserve">According to the receipt provided by the user himself, the ARS 10,000 transfer was ordered by him to a specific recipient (Rodolfo Jesus Ramon El Ahmed, CUIT 20175588540, Mercado Pago) on 26/7/2024 and was completed in accordance with those instructions. The operation required an express confirmation ("Slide to confirm"), so it was an action authorized by the user.
Lemon invokes point 3(e) of Digifin's Terms and Conditions, which places on the user the verification of the recipient's data. Analyzed under point B of the policy, this term does not contradict the principles: it reflects the irreversibility inherent to fiat transfers and is accompanied by adequate information and confirmation, so it is neither an abusive clause nor an ambiguity that would trigger in dubio pro consumidor.
The loss derives from an error by the user himself in instructing the destination, not from a failure by Lemon. No violation of any principle is established; the matter is resolved in favor of Lemon.</t>
  </si>
  <si>
    <t xml:space="preserve">María Isabel Verón (ID 973950); inbound MP-&gt;Lemon; 11/7/2024 22:12; $10.000</t>
  </si>
  <si>
    <t xml:space="preserve">Mistaken inbound transfer to a third party's Lemon account (user-authorised)</t>
  </si>
  <si>
    <t xml:space="preserve">She mistakenly transferred $10,000 from Mercado Pago into a third party's Lemon account and asks Lemon to refund it to her.</t>
  </si>
  <si>
    <t xml:space="preserve">The funds never left Lemon but sit in another user's account; Lemon cannot move funds out of a user's account without the holder's consent; it contacted the recipient who did not respond; the only remedy is the recipient's voluntary return; claim rejected.</t>
  </si>
  <si>
    <t xml:space="preserve">Buena Fe; Proteccion; Transparencia; Informacion</t>
  </si>
  <si>
    <t xml:space="preserve">User's Mercado Pago receipt (primary): $10,000 from María Isabel Verón to "Gisela Leonor Lencina," DNI/CUIL 27-37425436-2, Lemon CVU, 11/7/2024; Lemon support email confirming it asked the recipient and got no consent; not rebutted.</t>
  </si>
  <si>
    <t xml:space="preserve">No decisive token required image verification — both submissions agree the user sent funds to a named third party (Gisela Leonor Lencina) and the dispute turns on Lemon's inability to seize a third party's funds, not on any single OCR'd figure.</t>
  </si>
  <si>
    <t xml:space="preserve">The user herself directed the transfer to a third party's account; the funds are the property of that account holder, and Lemon cannot lawfully debit a customer's account without consent. Lemon engaged transparently (support contacted the recipient, who declined/did not respond) and explained the position, satisfying Informacion, Transparencia and Buena Fe. While Proteccion favours the consumer, it cannot compel Lemon to expropriate another customer's funds for an error the claimant made. No Lemon violation; the remedy lies with the recipient.</t>
  </si>
  <si>
    <t xml:space="preserve">The Mercado Pago receipt provided by the user shows that she herself ordered the transfer of $10,000 to a third party's account (Gisela Leonor Lencina) on 11/7/2024. The funds entered that third person's Lemon account and belong to her; Lemon lacks the power to withdraw them without the holder's consent, as it explained.
According to the support screenshot provided by Lemon's own side, the platform contacted the recipient and obtained no response or authorization to return them. This evidences transparent conduct and good faith (Transparency, Good Faith) and compliance with the duty of Information. The principle of Protection shields the consumer, but it cannot compel Lemon to expropriate another user's funds because of an error by the claimant.
No violation attributable to Lemon was demonstrated; the avenue is the voluntary restitution by the recipient. The matter is resolved in favor of Lemon.</t>
  </si>
  <si>
    <t xml:space="preserve">ID 2284809; promo reintegro 10% USDT; Claro $20.250 pagado 18/7/2024</t>
  </si>
  <si>
    <t xml:space="preserve">Promotion / cashback (reintegro) — denied despite eligibility</t>
  </si>
  <si>
    <t xml:space="preserve">He paid a service bill following the email instructions but was told the 10% reintegro was card-only, a restriction not in the email; he asks for the promo to be applied.</t>
  </si>
  <si>
    <t xml:space="preserve">Quotes the same promo terms (any currency, $2,000 cap, valid to 24/07) and ADMITS a database error prevented some qualifying users from receiving the reintegro.</t>
  </si>
  <si>
    <t xml:space="preserve">Informacion; Transparencia; Proteccion; Buena Fe; in dubio pro consumidor</t>
  </si>
  <si>
    <t xml:space="preserve">User must show eligibility/violation more likely than not; but ambiguity in Lemon's communication resolves for the consumer.</t>
  </si>
  <si>
    <t xml:space="preserve">Promo email (primary, both parties) states "Podés pagar con cualquier moneda, pesos o crypto" and "Tope de reintegro: $2.000"; user's Claro payment receipt $20,250 on 18/7/2024; Lemon's own admission of a database error denying qualifying users; not rebutted.</t>
  </si>
  <si>
    <t xml:space="preserve">Read Descargo USUARIO 53 page_0002.jpeg (email: "Podés pagar con cualquier moneda, pesos o crypto"; "La promo es válida hasta el 24/07"; "Tope de reintegro: $2.000") and Descargo Lemon 53 page_0001.jpeg (Lemon's admission of the database error) — both confirmed; match .md.</t>
  </si>
  <si>
    <t xml:space="preserve">The published promotion expressly permits payment with any currency and never restricts the reintegro to card payments, so support's "card-only" reason contradicts Lemon's own headline communication (Informacion/Transparencia). The user paid via the app as instructed, within the 24/07 validity, so he met the stated requirements; 10% of $20,250 is capped at the $2,000 cap. Decisively, Lemon admits a database error that denied the reintegro to qualifying users — an acknowledgement that the user qualified and was wrongly denied. This mirrors policy example 147; in dubio pro consumidor and Proteccion resolve for the user.</t>
  </si>
  <si>
    <t xml:space="preserve">The promotion's communication —identical in both submissions and verified against the image— expressly states "You can pay with any currency, pesos or crypto" and a "Cashback cap: $2,000," without restricting it to card payments. Support's justification ("only valid with card") contradicts Lemon's own advertising, violating the principles of Information and Transparency.
According to the user's screenshots, he paid the Claro bill of $20,250 on 18/7/2024 following the procedure in the email and within the validity period (24/07), so he met the requirements. Decisively, Lemon acknowledges in its submission "an error in our database that prevented some users who met the requirements from receiving the cashback": an admission that the cashback was due and was denied due to its own error.
The case is analogous to example 147 of the policy. By Protection and in dubio pro consumidor, the claimed cashback should be applied (cap $2,000). The matter is resolved in favor of the user.</t>
  </si>
  <si>
    <t xml:space="preserve">ID 251350; promo reintegro 10% USDT; Claro $9.246,08 pagado 24/7/2024</t>
  </si>
  <si>
    <t xml:space="preserve">He paid his cell bill on 24/07 per the email instructions but support said the promo was card-only, a restriction absent from the email; he asks for the promised reintegro.</t>
  </si>
  <si>
    <t xml:space="preserve">Promo email (primary, both parties) states "Podés pagar con cualquier moneda, pesos o crypto"; user's Claro payment receipt $9,246.08 on 24/7/2024 23:18; Lemon's own admission of a database error denying qualifying users; not rebutted.</t>
  </si>
  <si>
    <t xml:space="preserve">Read Descargo Lemon 54 page_0002.jpeg — Lemon's admission "hemos identificado un error en nuestra base de datos que impidió que algunos usuarios que cumplían con los requisitos obtuvieran el reintegro" confirmed; email "cualquier moneda" line matches across both .md transcripts.</t>
  </si>
  <si>
    <t xml:space="preserve">As in case 53, the published promo permits any currency and imposes no card-only condition, so support's stated reason contradicts the headline communication (Informacion/Transparencia). The user paid the Claro bill on 24/07 (the final valid day) via the app as instructed, meeting the requirements; 10% of $9,246.08 (~$924.61) is under the $2,000 cap. Lemon again admits a database error denied qualifying users the reintegro — an acknowledgement of entitlement wrongly withheld. Mirrors policy example 147; in dubio pro consumidor and Proteccion resolve for the user.</t>
  </si>
  <si>
    <t xml:space="preserve">The promotional email, identical to that of case 53, states "You can pay with any currency, pesos or crypto" and a cap of $2,000, without conditioning the cashback on the use of a card. Support's response limiting it to card payments contradicts Lemon's own communication, affecting the principles of Information and Transparency.
According to the screenshot provided by the user, he paid the Claro bill of $9,246.08 on 24/7/2024 —the last day of validity— following the indicated procedure, so he met the requirements. Lemon expressly admits, as was verified in the image of its submission, "an error in our database that prevented some users who met the requirements from obtaining the cashback," thereby acknowledging that the benefit was due.
By Protection and in dubio pro consumidor, and in line with example 147 of the policy, the 10% cashback should be applied (within the $2,000 cap). The matter is resolved in favor of the user.</t>
  </si>
  <si>
    <t xml:space="preserve">Cristina Noemí Torrales (ID 2597810); 29/7/2024 13:05; ARS 150.909</t>
  </si>
  <si>
    <t xml:space="preserve">Outbound transfer to own account — funds debited, allegedly not received (user-authorised)</t>
  </si>
  <si>
    <t xml:space="preserve">A transfer she made was debited from her wallet but did not reach the destination; she asks for a refund or correct delivery.</t>
  </si>
  <si>
    <t xml:space="preserve">The transaction completed successfully per the user's instructions and the funds are no longer in Lemon's possession; she should use the COELSA ID to check with the destination bank; Lemon is not responsible for other entities' delays/errors; claim rejected.</t>
  </si>
  <si>
    <t xml:space="preserve">Informacion; Transparencia; Buena Fe; Proteccion (tested)</t>
  </si>
  <si>
    <t xml:space="preserve">User's own receipt (primary): ARS 150,909 sent by "Cristina Noemi TORRALES" to recipient "Cristina Noemi Torrales," CUIT 27274125050, CBU 0000205100272741250505, Banco destino CVU, 29/7/2024 13:05 — sender and recipient are the same person; Lemon back-office shows the same completed VIRTUAL_WITHDRAWAL; not rebutted.</t>
  </si>
  <si>
    <t xml:space="preserve">Read Descargo USUARIO 55 page_0002.jpeg — "Enviado por Cristina Noemi TORRALES" and "Persona destinataria: Cristina Noemi Torrales," CUIT 27274125050, CBU 0000205100272741250505, ARS 150.909,00, COELSA 3D5W612E38Q657KG2GXYVR confirmed; sender=recipient verified. (Lemon back-office Trx ID is an OCR garble of the same code; not decisive.)</t>
  </si>
  <si>
    <t xml:space="preserve">The receipt shows a transfer the user ordered to her own account at another entity (matching names; her CUIT/CBU), executed and marked completed, so this was a validly-authorised transaction, not a Lemon error. Both the user's receipt and Lemon's back-office record agree the funds left Lemon successfully with a COELSA reference. Any non-arrival is therefore a destination-entity matter, and Lemon supplied the COELSA ID to trace it, satisfying Informacion, Transparencia and Buena Fe. No ambiguity in Lemon's communications engages in dubio pro consumidor; no Lemon violation is shown.</t>
  </si>
  <si>
    <t xml:space="preserve">The receipt provided by the user herself shows that the transfer of ARS 150,909 was ordered by Cristina Noemí Torrales to an account whose holder is the same Cristina Noemí Torrales (same name, CUIT 27274125050, CBU 0000205100272741250505, destination bank CVU) on 29/7/2024, and appears as completed. This is an operation authorized by the user, verified against the page image.
Both the user's receipt and Lemon's back-office record agree that the funds left the platform successfully, with their corresponding COELSA ID. Accordingly, any delay or failure to credit corresponds to the destination entity and not to Lemon, which fulfilled its part and provided the COELSA identifier to manage the claim (Information, Transparency, Good Faith).
There is no ambiguity in Lemon's communication that would trigger in dubio pro consumidor, nor is any failure on its side established. The user does not satisfy the burden of proof. The matter is resolved in favor of Lemon.</t>
  </si>
  <si>
    <t xml:space="preserve">Case 56 (ID 756179); WETH withdrawal jul 24, 2024</t>
  </si>
  <si>
    <t xml:space="preserve">Unauthorized-transaction claim / non-listed token sent off-platform</t>
  </si>
  <si>
    <t xml:space="preserve">The user says they mistakenly sent WETH to an address that is not their Lemon account and lost all their crypto, and asks for recovery or compensation.</t>
  </si>
  <si>
    <t xml:space="preserve">Lemon says WETH is a non-listed token (T&amp;C 13.7) sent to an address outside its service, so it cannot recover the funds, and points to its Wiki and listed-token screens.</t>
  </si>
  <si>
    <t xml:space="preserve">User must show a Lemon-side violation more likely than not; default is Lemon's action stands.</t>
  </si>
  <si>
    <t xml:space="preserve">User's own "Retiro de Ethereum" screenshot showing a successful (Con éxito) withdrawal of 0.008528218682358447 WETH to 0xd2...30aa; primary; not rebutted.</t>
  </si>
  <si>
    <t xml:space="preserve">Opened Descargo USUARIO caso 56.assets/page_0002.jpeg — confirms "Retiro de Ethereum", 0.008528218682358447 WETH, destino 0xd2...30aa, "Con éxito", jul 24 2024; "$39,612" header is a display artefact, not decisive.</t>
  </si>
  <si>
    <t xml:space="preserve">The user's own evidence shows a successfully executed outbound withdrawal that the user initiated to an external address; this is a user-authorised, irreversible on-chain transfer, not a Lemon-side execution error or security breach. Lemon's T&amp;C 13.7 on non-listed assets does not contradict the policy principles — it reflects the technical reality that an exchange cannot reflect or retrieve a token it does not list, and Lemon additionally provides educational resources (Informacion/Educacion). Testing the pro-consumer angle: there is no evidence Lemon moved funds without authorisation or failed a duty of warning/information; the loss flows from the user's own action. No genuine ambiguity triggers in dubio pro consumidor.</t>
  </si>
  <si>
    <t xml:space="preserve">The user's own screenshot establishes that the disputed transfer was a withdrawal the user authorised and that completed successfully to an external address. Under the burden of proof the user, as claimant, must show a policy violation by Lemon is more likely than not; the evidence shows the opposite — a validly-instructed, irreversible transfer of a non-listed asset.
Lemon complied with the Informacion and Educacion principles by maintaining listed-token screens and a Wiki, and its cited clause 13.7 (non-listed digital assets cannot be reflected in the account) is consistent with, not contradictory to, the policy. No deceptive practice or opaque process is shown, so Transparencia and Buena Fe are not engaged against Lemon.
A diligent panel reading these materials converges on Rule for Lemon: the loss is attributable to the user's own authorised act involving a token/address outside Lemon's service, and Lemon has no ability to reverse it. There is no genuine ambiguity to resolve in the consumer's favour.</t>
  </si>
  <si>
    <t xml:space="preserve">Case 57 (ID 2642851); USDT transfers to TCwtq...EEv, Aug 4 2024</t>
  </si>
  <si>
    <t xml:space="preserve">Investment scam / social-engineering (third-party fraud)</t>
  </si>
  <si>
    <t xml:space="preserve">The user says they invested 80,000 ARS through a third party's link/address, received neither the investment back nor the promised gains, and were asked for another 80,000 ARS to "recover" it, which they call deceptive.</t>
  </si>
  <si>
    <t xml:space="preserve">Lemon says the user himself acknowledges the conflict is with a third party and that he authorised the transfers; Lemon merely executed the user's instructions and is not responsible for a third party's breach.</t>
  </si>
  <si>
    <t xml:space="preserve">Proteccion; Informacion; Buena Fe; Transparencia</t>
  </si>
  <si>
    <t xml:space="preserve">User's own "Enviar USDT" and "Retiro de USDT" screenshots to the Tron address TCwtqXU4TztQo33U7ZF92W2tVphydUWEEv with an explicit irreversibility warning; primary; not rebutted.</t>
  </si>
  <si>
    <t xml:space="preserve">Opened Descargo USUARIO caso 57.assets/page_0002.jpeg — confirms "Enviar USDT" to "TCwtq...EEv", Red Tron (TRC20), warning "Asegúrate de que tu dirección coincida con la red... podrías perder tus fondos. Las transacciones de criptomonedas son irreversibles" and "Desliza para confirmar"; destination matches the address cited in the claim.</t>
  </si>
  <si>
    <t xml:space="preserve">The user authorised both transfers to a third party's address as part of an investment promise, a classic scam followed by a recovery-scam request for more funds. The app displayed a prominent, clear irreversibility/risk warning before the user slid to confirm, satisfying the Informacion and Proteccion duties Lemon owes. Bias check on the pro-consumer angle: there is no Lemon security failure and no opaque process — Lemon warned the user and executed a validly-authorised on-chain transfer; the deception was by the third party, outside the Lemon-user relationship. The loss therefore stems from the user's own authorised act and a third-party scammer, not from any Lemon violation.</t>
  </si>
  <si>
    <t xml:space="preserve">The dispute-type orientation distinguishes a Lemon-side unauthorised transaction from a user who was socially-engineered into authorising transfers to a third-party scammer. The user's own screenshots place this squarely in the latter category: outbound USDT transfers to a Tron address the user supplied, completed with an on-screen warning that crypto transactions are irreversible and that funds may be lost.
Lemon satisfied the Informacion and Transparencia principles by surfacing the destination, network and an explicit risk warning before requiring a deliberate slide-to-confirm. Nothing in the record shows Lemon moved funds without authorisation or concealed a material fact, so Buena Fe is not breached on Lemon's side.
A diligent panel converges on Rule for Lemon: the recovery-scam ("pay again to get your money back") is the third party's deception, and Lemon cannot reverse an irreversible, validly-instructed transfer. The user has not discharged the burden of showing a Lemon policy violation.</t>
  </si>
  <si>
    <t xml:space="preserve">Case 58 (Lemon ID 2636485 / User ID 2240903)</t>
  </si>
  <si>
    <t xml:space="preserve">Wrong-network crypto transfer (user error, unlisted network)</t>
  </si>
  <si>
    <t xml:space="preserve">The user says different blockchains use similar identifiers, which caused confusion and sending funds to an incorrect blockchain, and argues Lemon should provide more clarity/security; both Lemon and Binance said the other platform holds the money.</t>
  </si>
  <si>
    <t xml:space="preserve">Lemon says the user admits choosing the wrong network; the network actually used was opBNB, which Lemon does not list, so it has no access to the funds, and Lemon documents/warns about network selection.</t>
  </si>
  <si>
    <t xml:space="preserve">Proteccion; Informacion; Transparencia; Buena Fe; in dubio pro consumidor</t>
  </si>
  <si>
    <t xml:space="preserve">User's own "Elige la red" and deposit-address screenshots showing distinct named networks (AVAX C-Chain, Optimism, opBNB, CELO) each with explicit loss-of-funds warnings; primary; not rebutted.</t>
  </si>
  <si>
    <t xml:space="preserve">Opened Descargo USUARIO caso 58.assets/page_0003.jpeg — confirms the network picker lists Optimism and opBNB as separate, clearly-labelled entries with distinct fees, plus warning "Asegúrate de que la red coincida con la dirección de retiro... De lo contrario, puedes perder tus activos"; the deposit-address screen likewise warns to deposit only from the correct network.</t>
  </si>
  <si>
    <t xml:space="preserve">The user's claim that "similar identifiers" caused the error is contradicted by the user's own screenshot, which shows each network spelled out as a distinct option with its own fee and an explicit warning. This matches the case-148 calibration: the relevant information was clear and the user mis-selected. Testing the pro-consumer angle: Lemon disclosed the networks plainly, warned twice about loss of funds, and the funds landed on opBNB — a network Lemon does not list and cannot access — so there is no Lemon execution error or hidden term. No genuine ambiguity exists to resolve under in dubio pro consumidor.</t>
  </si>
  <si>
    <t xml:space="preserve">Under the policy, a clear and accurate public-facing presentation that the user simply misread favours Lemon. The user's own evidence shows the network-selection screen distinctly naming Optimism and opBNB with separate fees and a prominent warning that mismatching the network can cause loss of funds, defeating the "confusingly similar identifiers" theory.
Lemon met the Informacion and Transparencia principles through the in-app network labels and warnings and its Wiki article on choosing a network. The loss occurred on opBNB, an unlisted network outside Lemon's service, so Lemon has no technical ability to recover it — consistent with, not contrary to, the principles.
A diligent panel converges on Rule for Lemon: the error was the user's own network selection on an irreversible transfer that was clearly warned against, and Lemon committed no violation. The burden of proof is not met.</t>
  </si>
  <si>
    <t xml:space="preserve">Case 59 (ID 2636485); user "$micaelanoc..." (Micaela Ochoa)</t>
  </si>
  <si>
    <t xml:space="preserve">Disputed/"unauthorised" transfer; device lent to a relative</t>
  </si>
  <si>
    <t xml:space="preserve">The user, a first-time user, says ~30,000 ARS in AVAX was transferred to a wallet she does not recognise and support gave no effective solution.</t>
  </si>
  <si>
    <t xml:space="preserve">Lemon says that within under 20 minutes the user deposited ARS, bought crypto and transferred it to an external wallet; its Fraud team confirmed no account breach; and in the support chat the user admits she lent her phone to her nephew.</t>
  </si>
  <si>
    <t xml:space="preserve">Proteccion; Informacion; Buena Fe; in dubio pro consumidor</t>
  </si>
  <si>
    <t xml:space="preserve">User must show a Lemon-side violation (unauthorised execution / security failure) more likely than not; default is Lemon's action stands.</t>
  </si>
  <si>
    <t xml:space="preserve">Lemon's support-chat screenshot where the user replies "Si era mi sobrino lo tengo yo" (the device was lent to her nephew), plus the user's own "Retiro de ADA" completed-transaction screenshot; primary; not rebutted.</t>
  </si>
  <si>
    <t xml:space="preserve">Opened Descargo Lemon caso 59.assets/page_0001.jpeg — confirms the Intercom chat: Lemon asks to whom the device was lent / whether known / whether currently in her possession, and the user answers "Si era mi sobrino lo tengo yo"; user's own page_0002 (per OCR) shows a completed "Retiro de ADA" of 45.95 ADA (claim references AVAX, an immaterial mismatch).</t>
  </si>
  <si>
    <t xml:space="preserve">The decisive admission is that the user lent her phone to her nephew, a person she knows; the account was in her possession with no breach confirmed by Lemon's Fraud team. This is not a Lemon-side unauthorised transaction or security failure — it is a transfer originating from the user's own device by someone she gave access to. Testing the pro-consumer angle: there is no evidence Lemon moved funds on its own initiative, failed to warn, or ran an opaque process; the destination is an external wallet Lemon cannot access. Absent any Lemon violation, there is no ambiguity to resolve for the consumer.</t>
  </si>
  <si>
    <t xml:space="preserve">The orientation for theft/scam claims requires distinguishing a Lemon-side unauthorised transfer from a loss caused by the user's own act or a third party with access. The support chat — which the user does not rebut — has her acknowledging she lent the device to her nephew, and Lemon's Fraud review found no account vulneration, placing the loss with a third party the user enabled rather than with any Lemon failure.
Lemon's execution of a transfer instructed from the user's own, unbreached device is a validly-authorised, irreversible transaction to an external wallet outside Lemon's reach. No Informacion, Transparencia or Buena Fe duty is shown to be breached, and the minor AVAX-vs-ADA discrepancy in the claim is immaterial to authorisation.
A diligent panel converges on Rule for Lemon: the claimant has not shown an unauthorised Lemon-side action more likely than not, and the unrebutted admission of lending the phone defeats the "wallet I don't recognise" framing.</t>
  </si>
  <si>
    <t xml:space="preserve">Case 61 (ID 1738460); "Comprá $ETH y ganá más $ETH" promo (until 31/7)</t>
  </si>
  <si>
    <t xml:space="preserve">Promotion / reintegro (cashback) amount dispute</t>
  </si>
  <si>
    <t xml:space="preserve">The user says they bought 20,000 ARS in ETH expecting a promised 5,000 ARS gift in ETH and never received it after the stated 5 business days.</t>
  </si>
  <si>
    <t xml:space="preserve">Lemon says the promo capped the gift at 2,000 ARS in ETH (never 5,000), as shown in the email the user received, and that the 2,000 ARS reintegro was credited on 1/8/2024.</t>
  </si>
  <si>
    <t xml:space="preserve">Informacion; Transparencia; Proteccion; in dubio pro consumidor</t>
  </si>
  <si>
    <t xml:space="preserve">User must show the promo communication was unclear/misleading or that the reward was unpaid; default is Lemon's position stands.</t>
  </si>
  <si>
    <t xml:space="preserve">The user's OWN promo-email screenshot stating "te acreditamos $2.000 más" and "vas a recibir como máximo 2000 ARS en $ETH de regalo"; primary; not rebutted. Lemon's MANUAL_DEPOSIT credit record (concept "Acreditación premio ETH Week").</t>
  </si>
  <si>
    <t xml:space="preserve">Opened Descargo USUARIO caso 61.assets/page_0002.jpeg — the email headline reads "$2.000 más" and bullet 3 reads "vas a recibir como máximo 2000 ARS en $ETH de regalo"; the only "$5.000" on the page is in the example of disallowed partial purchases ("$15.000 y después $5.000 más"), which the user conflated. The $2,000 cap is in the headline AND a bullet — clear and prominent.</t>
  </si>
  <si>
    <t xml:space="preserve">The decisive token — the promo amount — is verified from the user's own evidence as 2,000 ARS, prominently in the headline and reiterated in the conditions; the 5,000 ARS figure the user claims appears nowhere as a reward. This is the case-148 calibration: the advertised terms were explicit and clear and the user misread, which favours Lemon. The cap was on the face of the headline, not buried in T&amp;C, so the case-147 "hidden limit" pattern does not apply. Lemon additionally evidences a 2,000 ARS credit; even disregarding a minor name anomaly on that secondary back-office screenshot, the claim fails on the promo-amount token alone, so no in dubio pro consumidor arises.</t>
  </si>
  <si>
    <t xml:space="preserve">The promotion's material term — a maximum 2,000 ARS gift in ETH — is stated clearly and prominently in the very email the user submitted, both in the headline and in the bullet conditions. Under the Informacion and Transparencia principles and the case-148 example, a clear, accurate communication that the user misreads favours the provider; the user's $5,000 figure is a conflation of the disallowed-partial-purchase example.
This is not the case-147 fact pattern, where a material cap was hidden only in the fine print while the headline implied otherwise — here the cap is in the headline itself, so there is no concealment and no genuine ambiguity to resolve for the consumer. Lemon also tendered a back-office record of a 2,000 ARS "ETH Week" prize credit; a name discrepancy on that secondary screenshot does not disturb the result, because the promo never promised 5,000 ARS.
A diligent panel converges on Rule for Lemon: the user's own primary evidence refutes the premise of the claim, and the burden of showing a misleading or unpaid promotion is not met.</t>
  </si>
  <si>
    <t xml:space="preserve">Case 62 (ID 1409776); ARS 12,490 transfer to MercadoPago, 20 Aug 2024</t>
  </si>
  <si>
    <t xml:space="preserve">Wrong/inactive fiat (ARS) transfer — user data error</t>
  </si>
  <si>
    <t xml:space="preserve">The user says they transferred to an incorrect, now-inactive MercadoPago account, cannot access it or contact the holder, and asks Lemon to recover the money.</t>
  </si>
  <si>
    <t xml:space="preserve">Lemon says ARS transfers go to the account the user instructs and are irreversible; per the Digifin T&amp;C clause 3(e) the user is responsible for verifying recipient data, and the app shows the recipient and requires confirmation; it suggests contacting MercadoPago.</t>
  </si>
  <si>
    <t xml:space="preserve">User's own completed "Retiro de ARS" receipt for 12,490 ARS to "Denise Maria Cornet D Hunval" (CBU 0000003100085284200171); primary; not rebutted; matches Lemon's VIRTUAL_WITHDRAWAL record.</t>
  </si>
  <si>
    <t xml:space="preserve">Opened Descargo USUARIO caso 62.assets/page_0002.jpeg — confirms 12,490 ARS, "Retiro de ARS", 20 Agosto 2024 16:58, "Completo / Tu envío ya fue realizado", Destinatario "Denise Maria Cornet D Hunval", matching the destination in Lemon's record.</t>
  </si>
  <si>
    <t xml:space="preserve">The user's own receipt shows a completed fiat withdrawal to a destination the user entered, executed per instruction; the loss arises from the user sending to the wrong/inactive account, not from any Lemon error. Lemon's confirmation flow (recipient shown, slide-to-confirm) satisfies Informacion. T&amp;C 3(e) places the duty to verify recipient data on the user; this does not contradict the policy principles — it reflects the irreversible nature of bank transfers and is not a buried limit on a headline promise. Testing the pro-consumer angle: no opaque process, no Lemon-initiated movement of funds, no misrepresentation — so no ambiguity to resolve for the consumer.</t>
  </si>
  <si>
    <t xml:space="preserve">Per the fee/transfer orientation and the Buena Fe principle, Lemon executed a validly-instructed, irreversible ARS transfer to the account the user supplied, as shown on the user's own completed receipt. The loss flows from the user directing funds to an incorrect, inactive account, not from any failure by Lemon.
The Digifin T&amp;C clause 3(e), placing responsibility for the accuracy of recipient data on the user, is consistent with the policy rather than contradicting it; it does not bury or override a consumer protection but states the unavoidable consequence of irreversible interbank transfers. Lemon's interface displays the recipient and requires a deliberate confirmation, meeting the Informacion duty.
A diligent panel converges on Rule for Lemon: there is no Lemon-side violation, the appropriate recourse is against the receiving platform, and the user has not discharged the burden of proof.</t>
  </si>
  <si>
    <t xml:space="preserve">Case 63 (ID 2055235); ARS 29,600 transfer to wrong alias, 2 Sep 2024</t>
  </si>
  <si>
    <t xml:space="preserve">Wrong-alias fiat (ARS) transfer — user data error</t>
  </si>
  <si>
    <t xml:space="preserve">The user says they sent 29,600 ARS to "Fiorella Marianella Alvarez" when they meant "Fiorella Adriana Carrasco", due to a one-letter confusion in the alias, and asks for a refund or redirection.</t>
  </si>
  <si>
    <t xml:space="preserve">Lemon says ARS transfers go to the account the user instructs and are irreversible; per Digifin T&amp;C clause 3(e) the user must verify the alias/recipient data, the app shows the recipient and requires confirmation, and the user should contact MercadoPago.</t>
  </si>
  <si>
    <t xml:space="preserve">User's own completed transfer receipt for ARS 29,600 to "Fiorella Marianel Alvarez" (CUIT 27370689992, Mercado Pago); primary; not rebutted; matches Lemon's VIRTUAL_WITHDRAWAL record.</t>
  </si>
  <si>
    <t xml:space="preserve">Opened Descargo USUARIO caso 63.assets/page_0002.jpeg — confirms ARS 29,600.00, 02 Septiembre 2024 17:35, green tick, "Persona destinataria: Fiorella Marianel Alvarez", CUIT 27370689992, CBU 0000003100076092888343, Banco destino Mercado Pago, ID 3ed51b41-... matching Lemon's record.</t>
  </si>
  <si>
    <t xml:space="preserve">The user's own receipt confirms a completed transfer to exactly the recipient the user now says was wrong; the error (selecting the wrong alias) was the user's own, and Lemon executed per instruction. The app displayed the recipient name and required a slide-to-confirm, satisfying Informacion. T&amp;C 3(e), assigning the duty to verify recipient data to the user, is consistent with the policy and reflects the irreversibility of the transfer; it is not a hidden or contradictory term. Testing the pro-consumer angle: no Lemon error, no opaque process, no misrepresentation — there is no genuine ambiguity to resolve for the consumer.</t>
  </si>
  <si>
    <t xml:space="preserve">As in the parallel ARS-transfer disputes, Lemon executed a validly-instructed, irreversible transfer to the recipient the user selected, evidenced by the user's own completed receipt. A single-letter alias confusion is a user input error, not a Lemon execution failure or security lapse.
The Digifin T&amp;C clause 3(e) requiring the user to verify the alias and recipient data is consistent with the policy principles and reflects the inherent finality of the transfer; Lemon's confirmation step (recipient displayed, slide-to-confirm) discharges the Informacion and Buena Fe duties. No deceptive or opaque practice is shown.
A diligent panel converges on Rule for Lemon: the loss results from the user's own data error on an irreversible transfer, the proper recourse is against the receiving platform, and the burden of proving a Lemon violation is not met.</t>
  </si>
  <si>
    <t xml:space="preserve">Caso 64 / ID 1429533 (no lemontag; tx date n/a — user evidence shows only gas data)</t>
  </si>
  <si>
    <t xml:space="preserve">Unauthorized/erroneous crypto deposit — unlisted token (WETH)</t>
  </si>
  <si>
    <t xml:space="preserve">The user transferred funds to fund their account, the funds never arrived, and they want only recovery (no extras).</t>
  </si>
  <si>
    <t xml:space="preserve">The user sent WETH, an unlisted token, to a deposit address; per T&amp;C 13.7 unlisted assets are not reflected and Lemon cannot access them.</t>
  </si>
  <si>
    <t xml:space="preserve">Protección; Información; Transparencia; Buena Fe; in dubio pro consumidor; Educación</t>
  </si>
  <si>
    <t xml:space="preserve">User must show Lemon violated a principle or executed an unauthorized/Lemon-side failure; default = Lemon's refusal stands.</t>
  </si>
  <si>
    <t xml:space="preserve">User's primary evidence is a generic Optimism-Etherscan gas/fee screenshot (no token type, no Lemon-side failure); Lemon's support chat naming WETH and the listed-assets screen are unrebutted (rebutted: n).</t>
  </si>
  <si>
    <t xml:space="preserve">User page 2 image confirms the .md — it shows only Etherscan gas data ($2,447.54/ETH, L2/L1 fees), NOT a WETH credit or Lemon failure; the WETH/unlisted fact comes from Lemon's unrebutted descargo; listed-assets screen contains no WETH.</t>
  </si>
  <si>
    <t xml:space="preserve">The user authorised sending WETH, which is genuinely absent from Lemon's listed-assets catalogue (BTC/ETH/ADA…/USDC/USDT/DAI/OP/ARB — no WETH). T&amp;C 13.7 (unlisted assets cannot be reflected) is a disclosed, reasonable limitation that does not contradict the §A principles, and Lemon additionally offered educational resources (Información/Educación satisfied). The user's own evidence shows no Lemon-side error and does not establish the funds are recoverable; the loss stems from the user's own authorised act of sending an unlisted asset.</t>
  </si>
  <si>
    <t xml:space="preserve">No evidence was found in the user's submission that demonstrates a failure by Lemon: the only screenshot provided is the gas screen from optimistic.etherscan.io, which does not show the token type or a failed credit, but only fee data. The decisive fact — that WETH, an unlisted asset, was sent — comes from Lemon's submission and the support chat, and was not rebutted by the user.
Under the Principle of Information and of Education, Lemon displays a screen of listed assets (without WETH) and clause 13.7 of the Terms and Conditions warns that unlisted assets sent by mistake cannot be reflected. That clause does not contradict the principles of point A; it is a reasonable and disclosed limitation. The loss derives from the authorized act of the user himself in sending an unsupported token, not from a deceptive practice or an operation unauthorized by Lemon.
Applying the burden of proof (the user must demonstrate the violation) and ruling out a bias in favor of Lemon, no breach of Protection, Transparency or Good Faith arises, nor any genuine ambiguity that would trigger in dubio pro consumidor. The claim does not prosper.</t>
  </si>
  <si>
    <t xml:space="preserve">Caso 65 / ID 2670813 (no lemontag; tx Oct-09-2024 12:51 UTC per Etherscan)</t>
  </si>
  <si>
    <t xml:space="preserve">Crypto deposit — ETH withdrawn via third-party World App arrived as unlisted WETH</t>
  </si>
  <si>
    <t xml:space="preserve">They withdrew ETH (a listed asset) from World App over Optimism, but it auto-converted to WETH outside their control, so Lemon should credit the funds.</t>
  </si>
  <si>
    <t xml:space="preserve">WETH is not a listed asset; per T&amp;C 13.7 unlisted assets sent by user error cannot be reflected and Lemon cannot access them, so nothing can be done.</t>
  </si>
  <si>
    <t xml:space="preserve">Información; Transparencia; Buena Fe; in dubio pro consumidor; Protección</t>
  </si>
  <si>
    <t xml:space="preserve">User must show a Lemon-side violation or genuine ambiguity in a Lemon communication; default = Lemon's refusal stands.</t>
  </si>
  <si>
    <t xml:space="preserve">Primary on-chain + app screenshots — the "Retiraste Ethereum"/WETH label is on the WORLD APP (third-party) screen, not Lemon's; Etherscan confirms WETH 0.00392105 (Value: 0 ETH) was the token sent (rebutted: n).</t>
  </si>
  <si>
    <t xml:space="preserve">User pages 2 and 4 verified against the images — the "Retiraste Ethereum" title with fine-print "WETH 0.00392105" is the World App (sender) screen; page 4 confirms the ERC-20 transferred was Wrapped Ether (WETH), Value 0 ETH. Lemon's app deposit screen (Lemon descargo p.2) lists supported assets with no WETH. OCR matched the images.</t>
  </si>
  <si>
    <t xml:space="preserve">The mislabel ("Ethereum") and the automatic ETH-&gt;WETH wrapping both occurred inside World App, a third-party self-custody wallet — not inside any Lemon interface — so they are not a Lemon Información/Transparencia failure. Lemon's app discloses its supported-asset catalogue (no WETH), and T&amp;C 13.7 is a clear, non-abusive limitation squarely covering an erroneous send of an unlisted asset; it does not contradict the §A principles, so there is no genuine ambiguity in a Lemon communication for in dubio pro consumidor to resolve. Unlike case 28, Lemon made no recovery promise. The loss flows from a third-party app's behaviour plus the user's own send, consistent with the parallel unlisted-WETH cases 56 and 64.</t>
  </si>
  <si>
    <t xml:space="preserve">The decisive screenshots the user supplied show that the "Retiraste Ethereum" heading and the silent conversion to WETH both appear on the World App screen — a third-party self-custody wallet — not on any Lemon screen. The block explorer confirms that what actually travelled on Optimism was Wrapped Ether (WETH), with a native-ETH Value of 0. The misleading "Ethereum" label is therefore attributable to World App, not to Lemon, so it does not establish a breach by Lemon of the Información or Transparencia principles.
Lemon's own deposit screen (reproduced in its descargo) discloses the assets it supports, and WETH is not among them; clause 13.7 of the Terms expressly addresses the erroneous sending of unlisted assets and is a reasonable, disclosed limitation that does not contradict the policy's §A principles. Because the ambiguity (ETH vs WETH) was introduced by the third-party app rather than by any Lemon communication, the in dubio pro consumidor principle has no genuine Lemon-side ambiguity to resolve, and Protección does not make Lemon an insurer against a third-party wallet's automatic wrapping.
This is the reading a diligent panel converges on, and it keeps the court consistent across the matched unlisted-token sends (cases 56 and 64, both for Lemon); unlike case 28, Lemon here made no recovery promise it could be held to. It remains a genuine close call (hence Medium confidence): a panel weighting Protección heavily could credit the user's "outside my control" argument. On the balance of evidence and the burden of proof, the claim does not prosper. I vote to Rule for Lemon.</t>
  </si>
  <si>
    <t xml:space="preserve">Caso 66 / ID 416651 (tx 13/10/2024 21:43; Camuzzi Gas Pampeana)</t>
  </si>
  <si>
    <t xml:space="preserve">Service payment charged in BTC instead of ARS — currency selection</t>
  </si>
  <si>
    <t xml:space="preserve">They tried to pay 19,479.89 ARS in pesos (had ARS balance; USDC backup was empty) but the app charged BTC, so they want the BTC reimbursed.</t>
  </si>
  <si>
    <t xml:space="preserve">Currency choice is the user's at confirmation; the app shows a "Seleccionar moneda" screen with a 0.5% crypto-commission warning, and per T&amp;C 3.3 executed instructions are irreversible.</t>
  </si>
  <si>
    <t xml:space="preserve">User must show a misleading/undisclosed practice; default = Lemon's executed payment stands.</t>
  </si>
  <si>
    <t xml:space="preserve">Lemon's "Seleccionar moneda" screenshot (primary) directly contradicts the user; user's own receipt confirms the charge was BTC 0.00027375 (rebutted: n — user did not dispute the screen's contents).</t>
  </si>
  <si>
    <t xml:space="preserve">Lemon page 1 zoomed/cropped and verified — the selected (checkmarked) currency is 491.02 USDC (560,409.68 ARS), with 0.0002863 BTC below, and ARS 6,129.82 sits UNDER the "Saldo insuficiente" header; top banner reads "Pagando con crypto, tenés una comisión del 0.5%". User page 2 verified: Comisión BTC 0.00000137 / Total BTC 0.00027375, Aprobado. OCR matched.</t>
  </si>
  <si>
    <t xml:space="preserve">The verified evidence defeats the user's factual premise on two points: USDC was not empty (491 USDC, and the row actually checked) and the ARS balance (6,129.82) was insufficient to cover the 19,479.89 ARS bill, so paying in pesos was impossible. The app discloses the currency-selection step and the 0.5% crypto commission up front (Información/Transparencia satisfied), and the choice is the user's at confirmation. T&amp;C 3.3 (irreversibility of executed instructions) is standard for crypto and does not contradict the §A principles; the loss flows from the user's own authorised selection, not a Lemon violation.</t>
  </si>
  <si>
    <t xml:space="preserve">The "Select currency" screenshot provided by Lemon, verified against the page image, refutes the user's premise: the USDC balance was not zero (491.02 USDC, the row actually checked) and the ARS balance (6,129.82) appears under "Insufficient balance," so it was impossible to pay the 19,479.89 ARS in pesos. The user's own receipt confirms that the payment was processed in BTC.
The application clearly states the currency-selection step and warns "Paying with crypto, you have a commission of 0.5%," so the Principles of Information and Transparency are met. The choice of currency is the user's responsibility at confirmation; clause 3.3 on the irreversibility of the executed instruction is inherent to crypto operations and does not contradict the principles of point A.
There is no deceptive practice, no omitted information, nor any genuine ambiguity that would trigger in dubio pro consumidor; the loss comes from the authorized act of the consumer himself. The reimbursement claim does not prosper.</t>
  </si>
  <si>
    <t xml:space="preserve">Caso 67 / ID 2862962 (Pedro Pablo Gastelo Cecilio; retiro World App 16/10/2024)</t>
  </si>
  <si>
    <t xml:space="preserve">Unlisted-token deposit (WLD) — funds subsequently credited; support-delay complaint</t>
  </si>
  <si>
    <t xml:space="preserve">A transfer of ~215 soles in WLD from World App never reached their Lemon account and support gave no clear answer; they want the transfer credited.</t>
  </si>
  <si>
    <t xml:space="preserve">WLD was unlisted, but its tech team resolved it and credited the funds; the request is already resolved, so the claim is rejected.</t>
  </si>
  <si>
    <t xml:space="preserve">Protección; Información; Transparencia; Buena Fe</t>
  </si>
  <si>
    <t xml:space="preserve">User must show an uncured violation/loss; default = Lemon's position stands.</t>
  </si>
  <si>
    <t xml:space="preserve">Lemon's CASH_IN_CRYPTO screenshot (primary) showing +25 WLD "Completada", user Pedro Pablo Gastelo Cecilio, ID 2862962, monto acreditado en WLD = 25 (rebutted: n).</t>
  </si>
  <si>
    <t xml:space="preserve">Lemon page 2 verified — CASH_IN_CRYPTO Completada, "+ 25 WLD", "Monto acreditado en WLD: 25", ID 2862962 matches the case ID, país PERÚ, name matches. The credit is genuine; OCR matched the image.</t>
  </si>
  <si>
    <t xml:space="preserve">Lemon's own descargo admits WLD was not listed yet states its technology team recovered and credited the funds, and the verified screenshot shows 25 WLD acreditado to this exact user/ID. The substantive remedy the user requested — crediting the transfer — has therefore already been delivered, rendering the claim moot. The only residual issue is slow/unclear support (Información/Transparencia), but it caused no uncured economic loss because the funds arrived; ruling for the user would award a second, duplicate credit.</t>
  </si>
  <si>
    <t xml:space="preserve">According to the evidence provided by Lemon —the CASH_IN_CRYPTO panel "Completed" with "+25 WLD" credited to user Pedro Pablo Gastelo Cecilio, ID 2862962 (matching the case ID)— the claimed transfer was already recovered and credited by Lemon's technical team. The remedy requested by the user (that the credit be carried out) has already been fulfilled.
Although the delay and the lack of a clear response from support touch on the Principles of Information and Transparency, they did not generate a subsisting economic loss, given that the funds did in fact enter the account. Granting the claim would imply a double credit, which no diligent juror would uphold.
With the credit verified against the page image and the claim being substantially moot, the matter should be resolved in favor of Lemon. The claim does not prosper.</t>
  </si>
  <si>
    <t xml:space="preserve">Caso 68 / ID 2865011 (Wagner Caballero Pinchi; retiro World App 16/10/2024 16:21)</t>
  </si>
  <si>
    <t xml:space="preserve">Unlisted-token deposit (WLD, 3rd transfer) — funds subsequently credited; support-delay complaint</t>
  </si>
  <si>
    <t xml:space="preserve">A 3rd transfer of 25 WLD from World App never arrived (two prior ones succeeded) and support only auto-replied about a 40-person queue; they want the 25 WLD credited and an explanation.</t>
  </si>
  <si>
    <t xml:space="preserve">WLD was unlisted, but its tech team resolved it and credited the balance, which is now available; the claim is rejected as resolved.</t>
  </si>
  <si>
    <t xml:space="preserve">Lemon's CASH_IN_CRYPTO screenshot (primary) showing +25 WLD "Completada", user Wagner Caballero Pinchi, ID 2865011, monto acreditado = 25 (rebutted: n).</t>
  </si>
  <si>
    <t xml:space="preserve">Lemon page 2 verified — CASH_IN_CRYPTO Completada, "+ 25 WLD", "Monto acreditado en WLD: 25", ID 2865011 matches the case ID, país PERÚ, name matches. Credit is genuine; OCR matched the image.</t>
  </si>
  <si>
    <t xml:space="preserve">As in case 67, Lemon concedes WLD was unlisted but its tech team credited the funds, and the verified screenshot shows 25 WLD acreditado to this exact user/ID. The user's requested remedy (credit 25 WLD) has already been delivered, so the claim is moot. The poor support experience touches Información/Transparencia but produced no uncured loss, the funds having been credited; awarding the claim would duplicate the credit.</t>
  </si>
  <si>
    <t xml:space="preserve">According to Lemon’s evidence —the CASH_IN_CRYPTO panel "Completed," "+25 WLD" credited to Wagner Caballero Pinchi, ID 2865011 (matching the case ID)— the 25 WLD claimed were already recovered and credited. The specific remedy requested by the user has already materialized.
The automatic support response and the wait are open to criticism in light of the Principles of Information and Transparency, but they did not entail a subsisting economic loss because the funds remained available in the account. Ruling in favor of the user would generate a duplicate credit.
With the credit verified against the page image and the claim being substantially moot, the matter should be ruled in favor of Lemon. The claim does not prosper.</t>
  </si>
  <si>
    <t xml:space="preserve">Lemontag "gettmoney" / ID 2825840 — transfer 24/10/2024</t>
  </si>
  <si>
    <t xml:space="preserve">Wrong-alias fiat transfer (user error)</t>
  </si>
  <si>
    <t xml:space="preserve">By mistake he transferred ARS 50,000 to a wrong alias (seba.la13 / Mercado Pago) and wants the funds returned.</t>
  </si>
  <si>
    <t xml:space="preserve">It executed the transfer exactly as instructed; fiat transfers are irreversible; under Digifin T&amp;C 3(e) verifying recipient data is the user's sole responsibility.</t>
  </si>
  <si>
    <t xml:space="preserve">Protección; Buena Fe; Información; Transparencia</t>
  </si>
  <si>
    <t xml:space="preserve">User must show a Lemon violation; default is the executed transfer stands. Loss from user's own authorised act.</t>
  </si>
  <si>
    <t xml:space="preserve">User's own Lemon receipt (primary) showing a completed ARS 50,000 send to Carlos Sebastian Ernesto Del Bianco / Mercado Pago; not rebutted.</t>
  </si>
  <si>
    <t xml:space="preserve">Receipt amount/recipient/date legible in .md; no decisive token required image verification (case is lopsided — user concedes the error was his own).</t>
  </si>
  <si>
    <t xml:space="preserve">The user expressly states the transfer was made "por error" by him to an alias he entered; Lemon's role was limited to executing a valid, user-instructed, irreversible transfer. There is no unclear, false or buried communication: the receipt confirms the recipient was displayed, and the app flow shows a confirmation step. Protección/Buena Fe do not convert a provider into an insurer of the user's own data-entry mistake; the correct remedy lies with the receiving party, not Lemon.</t>
  </si>
  <si>
    <t xml:space="preserve">The user expressly acknowledges that "by mistake" he sent ARS 50,000 to an incorrect alias (seba.la13). According to the receipt provided by the user himself, the transfer was executed completely and successfully to the indicated Mercado Pago account, which confirms that Lemon fulfilled the instruction exactly as entered. No evidence of deceptive communication, incomplete information, or failure attributable to Lemon was found.
In accordance with the Principle of Good Faith and that of Information, Lemon acted transparently: the send flow shows the recipient's data and a confirmation step ("Slide to confirm"). The loss derives from the user's own authorized act, not from a violation by Lemon. Clause 3(e) of Digifin's T&amp;C, which places the verification of the data on the user, does not contradict the principles of the policy, but rather reflects the irreversible nature of fiat transfers.
The Principle of Consumer Protection does not oblige the provider to reverse a valid transfer executed due to the user's error. The proper avenue is to claim before the receiving entity (Mercado Pago). I vote for Lemon.</t>
  </si>
  <si>
    <t xml:space="preserve">Lemontag "luiscuencacardenas" / ID 2745961 — referral claim, Oct 2024</t>
  </si>
  <si>
    <t xml:space="preserve">Referral / promo commission claim</t>
  </si>
  <si>
    <t xml:space="preserve">He referred "Arístides Reynoso" with code CI79EA5 but never received the promised referral commission.</t>
  </si>
  <si>
    <t xml:space="preserve">An internal DB lookup by the user's lemontag found no record of that referral ("Sin resultados"); the promo T&amp;C require completing all steps, which were not met.</t>
  </si>
  <si>
    <t xml:space="preserve">Transparencia; Buena Fe; Información; carga de la prueba</t>
  </si>
  <si>
    <t xml:space="preserve">User must show he met the referral T&amp;C and a reward was owed; default is no reward where requirements unmet.</t>
  </si>
  <si>
    <t xml:space="preserve">User's screenshot (primary) is a WhatsApp invite to WORLDCOIN (worldcoin.org/join/CI79EA5) — a third-party platform, not a Lemon referral; Lemon's DB "Sin resultados" screenshot. User evidence unrebutted as to its content but self-defeating.</t>
  </si>
  <si>
    <t xml:space="preserve">Verified user p2 image — confirms the link is "https://worldcoin.org/join/CI79EA5" and "Invitation to Worldcoin", not Lemon; verified Lemon p1 image — lemontag "luiscuencacardenas", Mexico flag, DB query "Sin resultados". Decisive: the proof is a Worldcoin referral, not Lemon.</t>
  </si>
  <si>
    <t xml:space="preserve">The user's own decisive evidence shows a Worldcoin invitation code, not a Lemon referral; CI79EA5 is a Worldcoin join code. He produced nothing tying "Arístides Reynoso" to a completed Lemon referral, and Lemon's lemontag-based DB search returned no result. Under the burden of proof a referral reward is owed only when the promo requirements are met; the user has not shown they were. No ambiguity in Lemon's communication is demonstrated, so in dubio pro consumidor is not engaged.</t>
  </si>
  <si>
    <t xml:space="preserve">The central evidence provided by the user is a WhatsApp screenshot showing an invitation to Worldcoin (worldcoin.org/join/CI79EA5), that is, a referral program of a third-party platform and not of Lemon. The code "CI79EA5" itself corresponds to Worldcoin. No evidence demonstrating a valid referral within Lemon's program was found.
Lemon attached a verification in its database associated with the claimant's lemontag ("luiscuencacardenas"), with the result "No results," which supports that the claimed referral does not exist under the promotion's Terms and Conditions. In accordance with the burden of proof, the referral reward applies only when all the requirements are met, a point the user did not establish.
No deceptive communication, false information, or ambiguity attributable to Lemon is observed that would trigger the in dubio pro consumidor principle. By application of the Principle of Good Faith and in the absence of evidence of a Lemon referral, the matter should be voted for Lemon.</t>
  </si>
  <si>
    <t xml:space="preserve">ID 465753 — GRASS deposit via Solana, Oct/Nov 2024</t>
  </si>
  <si>
    <t xml:space="preserve">Non-listed token deposit (crypto)</t>
  </si>
  <si>
    <t xml:space="preserve">He deposited 31.38 GRASS (a non-listed token) via Solana; per Lemon's FAQ recovery should be possible with a 10% fee, but no solution was offered.</t>
  </si>
  <si>
    <t xml:space="preserve">GRASS is not listed; T&amp;C 13.7 says non-listed assets will not be reflected and Lemon is not obliged to operate/recover them; listed assets are clearly displayed and support already told the user it was unrecoverable.</t>
  </si>
  <si>
    <t xml:space="preserve">Información; Transparencia; Protección; in dubio pro consumidor (tested)</t>
  </si>
  <si>
    <t xml:space="preserve">User must show Lemon's communication was misleading/ambiguous or that recovery was promised; default = non-listed assets not credited per T&amp;C 13.7.</t>
  </si>
  <si>
    <t xml:space="preserve">User's solscan screenshot (primary) confirming GRASS transfer; both parties' FAQ screenshot, which states recovery only "si puede recuperarse" / "si podemos recuperarlos" (conditional). Not rebutted.</t>
  </si>
  <si>
    <t xml:space="preserve">FAQ wording cross-corroborated verbatim in user p3 and Lemon p1 .md (two independent submissions); GRASS non-listed status undisputed. No single token flips the outcome — no decisive token required image verification beyond this corroboration.</t>
  </si>
  <si>
    <t xml:space="preserve">GRASS is undisputedly non-listed, squarely within T&amp;C 13.7. The FAQ the user relies on does not promise recovery; it is expressly conditional ("contactá a soporte... revisamos SI puede recuperarse"; fee/minimums apply only "si PODEMOS recuperarlos"). Lemon's support reviewed and informed the user it was not recoverable, which is consistent with the published, conditional communication. This tracks calibration case 148 (terms explicit, user over-read) not 147 (buried material limit); no genuine ambiguity engages in dubio pro consumidor.</t>
  </si>
  <si>
    <t xml:space="preserve">According to the solscan screenshot provided by the user, he deposited 31.38 GRASS tokens, an asset that is not listed on Lemon. Clause 13.7 of the Terms and Conditions —which does not contradict the principles of the policy, but rather sets out a legitimate operational limit— establishes that unlisted assets are not reflected in the account and that Lemon is not obliged to operate or recover them.
The FAQ invoked by the user does not guarantee recovery: it textually conditions the process on a consultation and review ("we review whether it can be recovered") and clarifies that the 10% commission and the minimums apply only "if we can recover them." Therefore, Lemon's public communication is clear and truthful with respect to the Principle of Information and Transparency; support had already informed the user of the impossibility of recovery.
Unlike case 147, here there is no hidden material limit or deceptive advertising, but rather an explicit condition that the user over-interpreted (similar to case 148). As there is no genuine ambiguity, in dubio pro consumidor is not triggered. I vote for Lemon.</t>
  </si>
  <si>
    <t xml:space="preserve">ID 2584875 — GRASS received, 05/11/2024 (~USD 80)</t>
  </si>
  <si>
    <t xml:space="preserve">He received 48.22 GRASS (~USD 80), a non-listed token, by mistake and wants reimbursement applying the 10% recovery fee per the FAQ.</t>
  </si>
  <si>
    <t xml:space="preserve">GRASS is not listed; T&amp;C 13.7 governs; recovery is not automatic and requires support evaluation; listed assets are visibly displayed; support already explained it was unrecoverable.</t>
  </si>
  <si>
    <t xml:space="preserve">User must show misleading/ambiguous communication or a recovery promise; default = non-listed assets not credited per T&amp;C 13.7.</t>
  </si>
  <si>
    <t xml:space="preserve">User's solscan screenshot (primary) confirming 48.22 GRASS / $80.05 transfer; identical conditional FAQ text reproduced by both parties. Not rebutted.</t>
  </si>
  <si>
    <t xml:space="preserve">Amount 48.22 GRASS ($80.05) legible in user p2 .md and corroborated by Lemon's descargo (48.22); FAQ wording verbatim-consistent across both files. Amount is not outcome-determinative (non-listed status is the operative fact); no image verification changed any finding.</t>
  </si>
  <si>
    <t xml:space="preserve">Materially identical to case 80. GRASS is non-listed → T&amp;C 13.7 applies. The FAQ is conditional and does not promise recovery; the 10% fee/minimums attach only if Lemon "can" recover ("si podemos recuperarlos"). Lemon's communication is accurate and consistent with its terms, and support reviewed the matter. No buried limit or deceptive headline (contrast case 147); the user over-read a conditional FAQ (case 148). In dubio pro consumidor is not triggered absent genuine ambiguity.</t>
  </si>
  <si>
    <t xml:space="preserve">The solscan screenshot presented by the user confirms the receipt of 48.22 GRASS (approx. USD 80), a token not listed on Lemon. Clause 13.7 of the Terms and Conditions is applicable, which provides that unlisted assets are not reflected in the account and that the company is not obliged to operate or recover them; that clause does not contradict the principles of the policy.
The Frequently Asked Questions article cited by the user does not constitute a promise of reimbursement: it expressly conditions recovery on a support review ("we review whether it can be recovered") and makes the 10% commission and the minimum amounts subject to Lemon actually being "able" to recover them. The communication is therefore clear and truthful in accordance with the Principles of Information and Transparency.
As in case 80 and analogously to case 148, there is no hidden material limit or inducement to error, but rather an expansive interpretation by the user of an explicit condition. As there is no genuine ambiguity that would trigger in dubio pro consumidor, the matter should be voted for Lemon.</t>
  </si>
  <si>
    <t xml:space="preserve">Lemontag "cabacabkary" / ID 1359337 — transfer 05/10/2024</t>
  </si>
  <si>
    <t xml:space="preserve">Alleged unauthorized fiat transfer</t>
  </si>
  <si>
    <t xml:space="preserve">A transfer of ARS 70,000 left her account "sin mi autorización"; she wants it cancelled or refunded.</t>
  </si>
  <si>
    <t xml:space="preserve">The transfer was executed per instructions and is irreversible; the user never reported a breach or filed a police report; Lemon detected no account compromise.</t>
  </si>
  <si>
    <t xml:space="preserve">Protección; Buena Fe; Información; carga de la prueba; bias check (unauthorized-transfer test)</t>
  </si>
  <si>
    <t xml:space="preserve">User alleging an unauthorized transaction must show non-authorisation or a Lemon-side breach; default = executed transfer stands.</t>
  </si>
  <si>
    <t xml:space="preserve">User's own Lemon receipt (primary) showing "Enviado por: Carina Catacata" → Juan Ramon Escobar, ARS 70,000, 05/10/2024; self-undermining, not rebutted.</t>
  </si>
  <si>
    <t xml:space="preserve">Verified user p2 image — receipt header "Enviado por Carina Catacata" (the user) confirming an outbound transfer bearing her own name as sender; amount ARS 70,000 and date 05 Oct 2024 confirmed. Decisive: evidence shows a normal user-side send, not signs of intrusion.</t>
  </si>
  <si>
    <t xml:space="preserve">The user's only evidence is a standard Lemon transfer receipt that names HER as the sender — consistent with an authorised outbound transfer, not an intrusion. Running the bias-check pro-consumer test: there is no indication Lemon moved funds without authorisation, no reported breach, no police report, and Lemon found no compromise; thus no failure of Protección/Información is shown. A bare assertion of "no autoricé" unsupported by any breach evidence does not discharge the burden; the loss, if to a third party, is not shown to stem from a Lemon violation.</t>
  </si>
  <si>
    <t xml:space="preserve">The only evidence provided by the user is a Lemon transfer receipt that identifies her herself as the sender ("Sent by: Carina Catacata") of ARS 70,000 to Juan Ramon Escobar on 05/10/2024. That receipt is consistent with an authorized outbound transfer and does not demonstrate unauthorized access, account tampering, or a failure by Lemon.
Applying the pro-consumer check that the policy requires: it does not appear that Lemon executed an operation without the user's instruction or that there was a breach. The user did not report the event to support or file a police report, and Lemon states that its system did not detect any breach. The mere assertion of "I did not authorize it," without evidence of a compromise of the account, does not satisfy the burden of proof (balance of evidence).
No violation of the Principles of Protection, Information, or Good Faith on the part of Lemon is established, whose conduct was transparent in executing the instruction. In the absence of evidence of a failure by the provider, the matter should be voted for Lemon.</t>
  </si>
  <si>
    <t xml:space="preserve">ID 121705 — USDT via OPBNB network</t>
  </si>
  <si>
    <t xml:space="preserve">Non-listed network deposit (crypto) / FAQ ambiguity argument</t>
  </si>
  <si>
    <t xml:space="preserve">Lemon's article says crypto sent from "other networks" can be recovered (network cost + 10% fee); support gave no solution, contradicting the published info, and compatible networks are not specified (ambiguity).</t>
  </si>
  <si>
    <t xml:space="preserve">He sent USDT via OPBNB, a network Lemon does not operate; recovery is not an automatic right and requires support evaluation; supported networks are shown in-app; T&amp;C 13.7 covers this.</t>
  </si>
  <si>
    <t xml:space="preserve">Transparencia; Información; Protección; in dubio pro consumidor (tested)</t>
  </si>
  <si>
    <t xml:space="preserve">User must show the recovery communication was a binding promise or genuinely ambiguous/misleading; default = non-supported-network deposits not credited per T&amp;C 13.7.</t>
  </si>
  <si>
    <t xml:space="preserve">User's FAQ screenshot (primary, his own) which itself conditions recovery on a support review; Lemon's matching FAQ text and 13.7 citation. Not rebutted.</t>
  </si>
  <si>
    <t xml:space="preserve">FAQ text verbatim-consistent in user p2 .md and Lemon p1 .md; the operative phrase "revisamos si puede recuperarse" appears in the user's own exhibit. OPBNB non-supported status asserted by Lemon and unrebutted. No decisive token required separate image verification beyond this cross-corroboration.</t>
  </si>
  <si>
    <t xml:space="preserve">The user frames this as ambiguity, but his own exhibit shows the FAQ is conditional, not a guarantee: recovery happens only "si puede recuperarse" after a support review, and the fee/minimums apply only "si podemos recuperarlos". Testing the pro-consumer angle: the headline does not promise recovery from any network, so there is no buried contradiction (unlike case 147); the phrase "otras redes" plainly means networks Lemon supports for that asset, and 13.7 disclaims non-listed-network deposits. Lemon's support reviewed and explained OPBNB is unsupported. The communication is conditional and honest, so no genuine ambiguity engages in dubio pro consumidor.</t>
  </si>
  <si>
    <t xml:space="preserve">The user sent USDT via the OPBNB network, not supported by Lemon, and maintains that the help article promised the recovery of funds sent from "other networks." However, his own evidence (the FAQ screenshot) expressly conditions recovery on a support consultation and review ("we review whether it can be recovered") and makes the 10% commission and the minimums subject to Lemon actually being "able" to recover them. It is, therefore, not an unconditional guarantee.
With the pro-consumer angle put to the test: there is no hidden material limit or a deceptive headline contradicted by the fine print (unlike case 147). Clause 13.7 states that assets sent via unlisted networks are not reflected and that Lemon is not obliged to recover them, and the app displays the accepted networks. Support reviewed the case and informed that OPBNB is not operated by Lemon.
The communication is conditional, clear, and truthful in accordance with the Principles of Transparency and Information, so a genuine ambiguity that would trigger in dubio pro consumidor is not configured (a situation closer to case 148 than to 147). Consequently, I vote for Lemon.</t>
  </si>
  <si>
    <t xml:space="preserve">Lemontag "vera_boczoglie" / ID 1562136 — withdrawal 18/12/2024</t>
  </si>
  <si>
    <t xml:space="preserve">Wrong-recipient fiat transfer (user error)</t>
  </si>
  <si>
    <t xml:space="preserve">A transfer left her account to a wrong account — correct first name but wrong surname (Haydee Silva) — so she asks to void it and refund ARS 20,000.</t>
  </si>
  <si>
    <t xml:space="preserve">It executed the transfer per the CBU/instructions the user provided; transfers are irreversible; under Digifin T&amp;C 3(e) verifying recipient data is the user's responsibility; no breach detected, only the user holds her credentials.</t>
  </si>
  <si>
    <t xml:space="preserve">Protección; Buena Fe; Información; carga de la prueba</t>
  </si>
  <si>
    <t xml:space="preserve">User must show a Lemon violation or non-authorisation; default = user-instructed irreversible transfer stands.</t>
  </si>
  <si>
    <t xml:space="preserve">User's own withdrawal screenshot (primary) showing ARS 20,000 "Retiro de ARS" to Haydee Silva, 18/12/2024, completed; not rebutted.</t>
  </si>
  <si>
    <t xml:space="preserve">Verified user p2 image — "20,000 ARS Retiro de ARS", "Destinatario Haydee Silva", CBU 0070012230004021399377, 18 Dic 2024; confirms a completed user-initiated withdrawal to a CBU the user entered. Decisive facts confirmed.</t>
  </si>
  <si>
    <t xml:space="preserve">The user concedes the transfer was sent to a CBU she entered; the funds went to the account behind that CBU regardless of name mismatch (Argentine transfers settle on CBU, and the user-entered CBU controls the destination). Lemon executed a valid, user-instructed, irreversible transfer with a confirmation step in the flow, so no breach of Información/Transparencia is shown. As with case 78, Protección/Buena Fe do not require the provider to reverse a transfer arising from the user's own data-entry error; the remedy lies with the receiving institution.</t>
  </si>
  <si>
    <t xml:space="preserve">According to the receipt provided by the user herself, a "Withdrawal of ARS" of 20,000 was made to the account (CBU 0070012230004021399377) whose recipient appears as Haydee Silva, on 18/12/2024, with status "Complete." The operation was instructed by the user and executed by Lemon according to the data entered; fiat transfers are irreversible once completed.
The user alleges an error in the recipient's surname, but in the transfer system the destination is determined by the CBU entered by the user, not by the name. No unauthorized access is established —Lemon states it did not detect any breach and that only the user holds her credentials— nor any deceptive communication: the send flow includes a confirmation step. Clause 3(e) of Digifin's T&amp;C, which assigns to the user the verification of the data, does not contradict the principles of the policy.
As in case 78, the Principles of Protection and Good Faith do not oblige the provider to reverse a valid transfer originating from a data-entry error by the user herself. The proper avenue is the claim before the receiving entity. I vote for Lemon.</t>
  </si>
  <si>
    <t xml:space="preserve">Ernesto Kozaczuk (ID 1115112); claim dated 18/02/2025; FTM→Sonic migration 14/01–20/01/2025</t>
  </si>
  <si>
    <t xml:space="preserve">Token migration delay / claimed market-timing loss</t>
  </si>
  <si>
    <t xml:space="preserve">Lemon's failure to migrate his FTM to Sonic on the promised 14/01 left him unable to sell for six days, causing a USD 28.28 loss as the token fell from 0.84 to 0.53.</t>
  </si>
  <si>
    <t xml:space="preserve">It disclosed in advance the 14/01 automatic-conversion option AND that functionalities could be temporarily limited; migration was 1:1, funds never left his control, and price variation is market volatility outside its control.</t>
  </si>
  <si>
    <t xml:space="preserve">Información; Transparencia; Buena Fe; in dubio pro consumidor</t>
  </si>
  <si>
    <t xml:space="preserve">User must show Lemon's communication was unclear/misleading or that Lemon breached a disclosed obligation; default is Lemon's action stands.</t>
  </si>
  <si>
    <t xml:space="preserve">Primary — Lemon's 9/01/2025 official email and chat logs (in the user's own submission) disclosing the two options and the temporary-limitation warning; unrebutted (genuine), supports Lemon.</t>
  </si>
  <si>
    <t xml:space="preserve">Opened Descargo USUARIO page_0010.jpeg — confirms email date 9/01/2025, the 14/01 auto-conversion option, and the verbatim warning "Es probable que algunas funcionalidades como los retiros y el intercambio o venta de este token estén limitadas por unos días"; OCR matches image.</t>
  </si>
  <si>
    <t xml:space="preserve">Under Información/Transparencia, Lemon's headline communication (email + chats) clearly stated both that conversion would occur ~14/01 and that withdrawals/swap/sale would likely be limited for some days if the user waited — there is no buried material limit and no contradiction with the principles (cf. case 148, terms explicit/clear). The migration was 1:1 in token count and the funds were never confiscated; the alleged USD 28.28 is an unrealized theoretical gain (the user never attempted a sale and admits in chat "el mensaje de ustedes fue claro"). Price movement between 16/01 and 20/01 is inherent crypto volatility, not a Lemon act. No genuine ambiguity exists to trigger in dubio pro consumidor.</t>
  </si>
  <si>
    <t xml:space="preserve">The communication on which this dispute turns is Lemon's 9/01/2025 email, supplied by the user himself and verified against the page render. It plainly offered two paths — act before 12/01 and operate normally, or wait for the ~14/01 automatic conversion — and expressly warned that withdrawals, exchange and sale of the new token would likely be limited for some days under the second path. That satisfies the Información and Transparencia principles: the material risk the user complains about was disclosed up front, not buried in T&amp;C, and the worked example at case 148 (clear terms, user bears the consequence of his own choice) controls.
The loss claimed is a theoretical, unrealized gain. The migration was executed 1:1 in token quantity, the user's holdings were never taken from him, and he provides no evidence of an attempted sale at USD 0.84. In his own chat he concedes Lemon's message "fue claro." The price decline from 0.84 to 0.53 is ordinary market volatility, which the Buena Fe principle does not convert into a provider obligation.
No principle is breached and no genuine ambiguity exists, so in dubio pro consumidor is not engaged. The delay from 14/01 to 20/01 was disclosed as a possibility and caused no loss of capital. A diligent panel applying the policy literally converges on Lemon. Vote: Rule for Lemon.</t>
  </si>
  <si>
    <t xml:space="preserve">User ID 3214425; transaction 09/02/2025; 20.33 WLD send</t>
  </si>
  <si>
    <t xml:space="preserve">Crypto withdrawal on supported network / claimed network-selection failure</t>
  </si>
  <si>
    <t xml:space="preserve">He sent 20.33 WLD to Trust Wallet but the funds never arrived because Lemon did not let him explicitly select the network (he intended Ethereum).</t>
  </si>
  <si>
    <t xml:space="preserve">WLD on Lemon is sent only via Worldchain, which is displayed clearly before confirmation; per T&amp;C 13.7 sends to an unlisted network may not be reflected; the transaction completed correctly and is irreversible.</t>
  </si>
  <si>
    <t xml:space="preserve">Información; Transparencia; Buena Fe; Protección</t>
  </si>
  <si>
    <t xml:space="preserve">User must show Lemon hid the network or executed without authorisation; default is Lemon's executed irreversible transfer stands.</t>
  </si>
  <si>
    <t xml:space="preserve">Primary — the user's own screenshots (Lemon send screen showing "Worldchain"; explorer "Éxito" on Worldchain; Trust Wallet showing WLD only on Ethereum/OP with 0 balance) and Lemon's send-flow screenshots; unrebutted, supports Lemon.</t>
  </si>
  <si>
    <t xml:space="preserve">Opened Descargo Lemon page_0001.jpeg — confirms the send screens state the destination network is Worldchain and "Puedes enviar a direcciones de billeteras que pertenezcan a la red: Worldchain," and T&amp;C 13.7 text; OCR matches image.</t>
  </si>
  <si>
    <t xml:space="preserve">The Información/Transparencia principles require the network to be clearly disclosed before transacting, and Lemon's screens (in the user's own and Lemon's evidence) show "Worldchain" on the address line and an express statement that only Worldchain addresses are valid. The user's premise that no network was shown is contradicted by his own captures. The send executed correctly on Worldchain to the address he entered; his Trust Wallet shows WLD on Ethereum/OP, indicating the destination he chose does not surface the Worldchain funds — a user-side address issue, not a Lemon misexecution. T&amp;C 13.7 does not contradict the principles because Lemon did display the network.</t>
  </si>
  <si>
    <t xml:space="preserve">The clause on which the user relies — that Lemon never let him pick a network — is refuted by the evidence he himself filed. Lemon's send flow, confirmed against the page render, states the destination network is Worldchain and that only Worldchain wallet addresses may be used. Under Información and Transparencia the duty is to disclose the network clearly before the transaction, and that duty was met; there is no hidden term and nothing for in dubio pro consumidor to resolve.
The transfer of 20.33 WLD completed successfully on Worldchain to the address the user supplied (explorer status "Éxito"). His Trust Wallet shows WLD balances only on Ethereum and OP Mainnet at zero, which indicates the receiving wallet does not expose the Worldchain network — a destination-address problem on the user's side. The operation is irreversible once confirmed, and T&amp;C 13.7 (which warns that sends on an unlisted network may not reflect) is consistent with, not contrary to, the policy principles.
The loss flows from the user's own authorised send to an address he controlled, with the network adequately disclosed. No Información, Protección or Buena Fe breach by Lemon is shown. Vote: Rule for Lemon.</t>
  </si>
  <si>
    <t xml:space="preserve">User ID 2959833; Plin transfer 13/03/2025; S/ 50</t>
  </si>
  <si>
    <t xml:space="preserve">Fiat transfer to third-party platform / recipient non-receipt</t>
  </si>
  <si>
    <t xml:space="preserve">He paid S/ 50 to another person via Plin; it shows as a successful transaction but the recipient never received it and support gave no clear solution.</t>
  </si>
  <si>
    <t xml:space="preserve">It executed the Plin transfer correctly per the user's instructions; the operation is irreversible and shows as completed; the recipient/credit lies with Plin (a platform Lemon neither operates nor controls), so the user must claim with Plin using the operation ID.</t>
  </si>
  <si>
    <t xml:space="preserve">Transparencia; Protección; Buena Fe</t>
  </si>
  <si>
    <t xml:space="preserve">User must show Lemon misexecuted or failed a disclosure duty; default is Lemon's completed, irreversible transfer stands.</t>
  </si>
  <si>
    <t xml:space="preserve">Primary — the user's screenshot (S/ 50 "Envío de Soles … Completo," operation ID 2025031320084809224152542206) and Lemon's "PERUVIAN_FIAT_CASH_OUT [Completada]" panel; unrebutted, supports Lemon.</t>
  </si>
  <si>
    <t xml:space="preserve">Opened Descargo Lemon page_0001.jpeg — confirms a completed PERUVIAN_FIAT_CASH_OUT of 50.000 PEN (= S/ 50; "50.000.0000000" is decimal padding) with the matching operation ID, and the OCR "not transcribed" marker covered only these confirmatory detail fields; the prose "SOLES 50.000" is an immaterial mislabel since both parties agree the amount is S/ 50.</t>
  </si>
  <si>
    <t xml:space="preserve">Lemon's records and the user's own receipt both show the S/ 50 transfer completed with a shared operation ID, satisfying Transparencia as to the real status of the operation on Lemon's side. Lemon does not operate Plin and cannot verify or reverse credit at a destination on a third-party rail; it correctly directed the user to claim with Plin and supplied the operation ID. The loss, if any, arises at the third-party platform or with the recipient, not from a Lemon violation or unauthorised movement of funds; the bias-check pro-consumer angle (a hidden Información/Protección failure) finds no support because nothing was concealed and execution matched the user's instruction.</t>
  </si>
  <si>
    <t xml:space="preserve">Both submissions agree on the determinative facts: the S/ 50 Plin transfer shows as completed with a single operation ID that appears on the user's receipt and Lemon's transaction panel (verified against the page render). On Lemon's side the operation was executed transparently and exactly per the user's instruction, so the Transparencia and Buena Fe principles are satisfied as to Lemon's conduct.
Credit at the destination occurs on Plin, a platform Lemon neither operates nor controls. Under the unauthorized-transaction orientation, where the provider executed a valid, irreversible transfer per instruction and the failure (if real) lies with a third-party rail or recipient, the claim falls on Lemon unless a Lemon-side duty was breached. Running the bias check, I find no concealed term and no movement of funds the user did not authorise; Lemon also pointed the user to the correct remedy (a Plin claim with the operation ID).
The amount mislabel in Lemon's prose ("SOLES 50.000") is immaterial, as both parties treat the sum as S/ 50. The user offers no evidence of a Lemon misexecution. Confidence is Medium only because recipient non-receipt is asserted but unsubstantiated against Plin; on the balance of evidence the policy points to Lemon. Vote: Rule for Lemon.</t>
  </si>
  <si>
    <t xml:space="preserve">User ID 2560891; transactions 11/03 &amp; 16/03/2025; ARS 35,000 and ARS 16,000</t>
  </si>
  <si>
    <t xml:space="preserve">Two fiat (ARS) transfers / non-credit, one outbound one inbound from external bank</t>
  </si>
  <si>
    <t xml:space="preserve">A $35,000 ARS send never credited the recipient (he had to pay it again in cash), and a $16,000 ARS transfer he was shown never credited to his Lemon account.</t>
  </si>
  <si>
    <t xml:space="preserve">The $35,000 withdrawal executed correctly and is irreversible (user should query the destination bank via the COELSA ID); for the $16,000 there is no record of any inbound credit, and as it came from Naranja X the user must claim there.</t>
  </si>
  <si>
    <t xml:space="preserve">Protección; Transparencia; Buena Fe</t>
  </si>
  <si>
    <t xml:space="preserve">User must show Lemon misexecuted the outbound transfer or failed to credit a transfer that actually reached it; default is Lemon's completed transfers stand.</t>
  </si>
  <si>
    <t xml:space="preserve">Primary — user's screenshot of the $35,000 "Retiro de ARS … Completo" (CBU 0110478730047839338583, "Bustos Romina Eugenia," COELSA ID) and Naranja X receipt for $16,000 to "Daniel Alberto Segura"; Lemon's VIRTUAL_WITHDRAWAL panel; unrebutted, supports Lemon.</t>
  </si>
  <si>
    <t xml:space="preserve">Opened Descargo Lemon page_0001.jpeg and Descargo USUARIO page_0002.jpeg — both show COELSA ID XJBG7V95E67QKD7L2EMPYR (Lemon's .md OCR garble "XJBO7V99E67GKD7L2EMPYR" corrected to the image value); the IDs match, confirming Lemon's panel is the very $35,000 withdrawal the user marked "Completo."</t>
  </si>
  <si>
    <t xml:space="preserve">The verified COELSA ID match shows Lemon executed the exact $35,000 ARS withdrawal the user authorised, to a CBU and named beneficiary; the transfer is completed and irreversible, so any non-credit is a destination-bank matter (Transparencia satisfied — Lemon gave the COELSA ID to trace it). The $16,000 leg is an inbound transfer from Naranja X (per the user's own receipt, to beneficiary "Daniel Alberto Segura," a CBU not shown to be the user's Lemon CVU); Lemon shows no record of it arriving, and an external send that never reaches Lemon cannot be credited by Lemon. Neither leg evidences a Lemon-side failure of Protección or an unauthorised movement; both are external-entity issues.</t>
  </si>
  <si>
    <t xml:space="preserve">The decisive token is the COELSA identifier. Read directly from both page renders, the user's receipt and Lemon's withdrawal panel carry the same ID (XJBG7V95E67QKD7L2EMPYR; the markdown OCR had corrupted Lemon's copy). That match establishes Lemon executed precisely the $35,000 ARS withdrawal the user himself marks "Completo," to a named CBU beneficiary. The operation is irreversible, and the Transparencia principle is met because Lemon disclosed the COELSA ID with which the destination bank can be queried.
The $16,000 leg is an inbound transfer the user attempted to receive. His own proof is a Naranja X receipt addressed to "Daniel Alberto Segura" at a CBU not shown to be his Lemon account; Lemon's systems show no such credit arriving. A transfer emitted from an external entity that does not reach Lemon cannot be credited by Lemon, and the loss, if any, lies with Naranja X or the data used.
Applying the Protección and Buena Fe principles with the bias check, I find no concealed term, no misexecution, and no unauthorised movement of the user's funds by Lemon. Both legs are third-party/external-bank matters Lemon correctly routed elsewhere. Confidence is Medium because the user's hardship is real but unsubstantiated against Lemon. Vote: Rule for Lemon.</t>
  </si>
  <si>
    <t xml:space="preserve">User ID 3661576; deposits ~17/03; 100 + 20 + 50 PEN (Soles); third-party impersonation scam</t>
  </si>
  <si>
    <t xml:space="preserve">Third-party impersonation scam / authorised transfers</t>
  </si>
  <si>
    <t xml:space="preserve">She was defrauded by a person impersonating a Lemon representative who promised investment returns, and she made three deposits (100, 20, 50 soles) she now wants returned.</t>
  </si>
  <si>
    <t xml:space="preserve">The user herself admits she was deceived by a third party with no link to Lemon; the chats show the contact was not an official Lemon channel; the transfers were made voluntarily on the scammer's instructions, and Lemon publishes security guidance, so no Lemon-side fault exists.</t>
  </si>
  <si>
    <t xml:space="preserve">Protección; Buena Fe; Información; Educación</t>
  </si>
  <si>
    <t xml:space="preserve">User must show Lemon executed an unauthorised transfer or failed a security/disclosure duty; default is Lemon's executed transfers stand.</t>
  </si>
  <si>
    <t xml:space="preserve">Primary — the user's own WhatsApp screenshots with a private "CEO" contact and a self-custody BTC withdrawal to an external wallet; the user expressly states she was scammed; unrebutted, and on its face supports Lemon.</t>
  </si>
  <si>
    <t xml:space="preserve">No decisive token required image verification — the user expressly admits in her own text she was deceived by a third party impersonating Lemon, and the WhatsApp captures plainly show a non-official private contact; lopsided on the .md alone.</t>
  </si>
  <si>
    <t xml:space="preserve">Under the scam orientation, where the user authorised transfers to a third-party scammer and Lemon executed valid, irreversible transfers, the claim generally fails unless Lemon itself failed a duty of Información/Protección or moved funds without authorisation. Running the mandatory bias check: the impersonator operated on WhatsApp through a channel the user concedes was not official; Lemon publishes security guidance (Información/Educación) and did not execute anything the user did not instruct. There is no Lemon-side breach and no unauthorised movement; the harm, though genuine and sympathetic, originates entirely with the third-party fraudster. Sympathy (vulnerable circumstances) is immaterial to the policy application.</t>
  </si>
  <si>
    <t xml:space="preserve">By her own account, verified in the chat captures she submitted, the user was deceived by a private "CEO" contact impersonating Lemon — a channel she acknowledges was not official. The scam orientation in the policy is directly on point: where the user voluntarily authorises transfers to a third-party scammer and the provider executes valid, irreversible transactions, the claim lies against the fraudster, not the provider, absent a Lemon-side failure.
Running the required pro-consumer bias check, I find no concealed term, no misexecution, and no movement of funds Lemon was not instructed to make; Lemon also maintains public security guidance, satisfying the Información and Educación principles. The deposits left the user's control on the third party's instructions, not through any Lemon act.
The user's circumstances are distressing, but the Protección principle protects against provider violations, not against losses caused by an external criminal where the provider complied. There is no breach to remedy and no fabrication suggesting RtA. Vote: Rule for Lemon.</t>
  </si>
  <si>
    <t xml:space="preserve">User ID 2859752; transaction 22/03/2025; 31.29 USDC (30.29 net) wrong-network send</t>
  </si>
  <si>
    <t xml:space="preserve">Crypto withdrawal on wrong network (user-selected) / irreversibility</t>
  </si>
  <si>
    <t xml:space="preserve">He mistakenly selected the Base network instead of Ethereum when sending USDC to a Coinify address; since the funds were not received/used, he asks Lemon to reverse or refund them.</t>
  </si>
  <si>
    <t xml:space="preserve">Base is a valid Lemon withdrawal network; the transaction was confirmed on-chain to the address the user entered; the user's own Coinify evidence required Ethereum; crypto transfers are irreversible and Lemon has no technical means to recover them; it publishes educational guidance.</t>
  </si>
  <si>
    <t xml:space="preserve">Protección; Buena Fe; Transparencia; Educación; in dubio pro consumidor</t>
  </si>
  <si>
    <t xml:space="preserve">User must show Lemon hid the network/failed a duty or can technically reverse; default is Lemon's executed irreversible transfer stands.</t>
  </si>
  <si>
    <t xml:space="preserve">Primary — user's screenshots (Lemon "Retiro de USDC … Red: BASE … Completo" and Coinify warning "Send USDC on Ethereum blockchain, otherwise your funds will be lost" plus "Payment Expired"); user expressly admits selecting the wrong network; unrebutted, supports Lemon.</t>
  </si>
  <si>
    <t xml:space="preserve">Opened Descargo USUARIO page_0003.jpeg — confirms the Coinify warning "Send USDC on Ethereum blockchain, otherwise your funds will be lost," the "Payment Expired" notice, and (page_0002 text) the completed "Retiro de USDC, Red: BASE"; OCR matches image.</t>
  </si>
  <si>
    <t xml:space="preserve">The user expressly concedes the network error was his own, which removes any Información/Transparencia complaint against Lemon; Base is a validly listed withdrawal network and the transfer executed exactly per his instruction. His own Coinify screenshot warned in plain terms to use Ethereum "otherwise your funds will be lost," so the loss is the user's authorised act against a clear third-party warning, not a Lemon violation. Crypto transactions are irreversible once confirmed and Lemon has no custody of the destination; the Protección principle does not compel a provider to refund a correctly executed, user-directed transfer, and there is no genuine ambiguity to engage in dubio pro consumidor. Coinify itself states post-expiry payments are refunded, directing the remedy to the receiver.</t>
  </si>
  <si>
    <t xml:space="preserve">This dispute turns on whose act caused the loss, and the user admits it was his — he selected Base instead of Ethereum. His own Coinify capture, verified against the page render, warned expressly to send "USDC on Ethereum blockchain, otherwise your funds will be lost," and then showed "Payment Expired." There is therefore no Información or Transparencia failure by Lemon to remedy, and no ambiguity for in dubio pro consumidor to resolve.
Base is a validly listed withdrawal network and Lemon executed the 30.29 USDC transfer exactly as instructed, confirmed on-chain to the address the user entered. Crypto transfers are irreversible once confirmed and Lemon holds no custody over the Coinify-side destination, so it has no technical means of recovery. Lemon also publishes network-selection and educational guidance, satisfying the Educación principle.
Under the policy, the Protección principle guards against provider violations, not against a user's own authorised error made against a clear counter-warning; the correct remedy (Coinify states post-expiry payments are refunded) lies with the receiving platform. No Lemon breach is shown. Vote: Rule for Lemon.</t>
  </si>
  <si>
    <t xml:space="preserve">$k3vin3222 (Kevin Damian Arancio); caso 2640720; transfer dated 21/03/2025</t>
  </si>
  <si>
    <t xml:space="preserve">Crypto/fiat deposit not credited (EUR transfer to ARS-only CVU)</t>
  </si>
  <si>
    <t xml:space="preserve">A 50 EUR deposit made on Thursday 20 was debited from the sender but never credited to his Lemon account after 5+ days.</t>
  </si>
  <si>
    <t xml:space="preserve">The funds were a direct EUR (SWIFT/SEPA) transfer to a CVU enabled only for ARS, rejected by the Argentine banking system, never entered Lemon; the app's euro feature is a documented EUR-to-USDC conversion service, not direct EUR receipt.</t>
  </si>
  <si>
    <t xml:space="preserve">User must show Lemon received/retained the funds or misled him into a direct EUR deposit; default = Lemon's action stands.</t>
  </si>
  <si>
    <t xml:space="preserve">Primary - bank constancia (50,00 EUR, fecha 21/03/2025, beneficiary Kevin Damian Arancio, ordenante Jonathan Stiven Lemus, shared costs 26,75 EUR) plus Lemon's EUR-to-USDC product/T&amp;C screenshots; user's home-screen screenshot (zero balance); not rebutted by user.</t>
  </si>
  <si>
    <t xml:space="preserve">Opened Descargo Lemon page_0001.jpeg and cropped the constancia: 50,00 EUR, 21/03/2025, beneficiary/ordenante and 26,75 EUR shared costs all confirmed (OCR "LEMAFRPPXXX" reads "LEWAFRPPXXX" on image - immaterial Lemon/NOAH BIC either way); confirms a direct EUR transfer, not the conversion flow.</t>
  </si>
  <si>
    <t xml:space="preserve">The constancia shows a direct foreign-currency transfer to a CVU; Lemon's screenshots show the only euro product is an opt-in EUR-to-USDC conversion (open virtual account, simulate, accept T&amp;C, 1.5% fee, caps EUR3,000/tx and EUR15,000/month) and never invites a direct EUR transfer into a CVU. The funds never entered the Lemon ecosystem, so there is no Informacion/Transparencia breach and nothing for Lemon to credit or reverse; Lemon constructively directs the sender to BBVA for the automatic return. No genuine ambiguity in Lemon's communications triggers in dubio pro consumidor.</t>
  </si>
  <si>
    <t xml:space="preserve">The unrebutted bank constancia (Descargo Lemon page 2, image-verified) shows a direct EUR transfer of 50,00 EUR addressed to an ARS-only CVU, not a transfer through Lemon's euro product. Under the Principio de Informacion and Transparencia, Lemon's burden is to communicate its product clearly; its screenshots show the euro feature is explicitly "Depositá Euros y recibí USDC" via a partner with a step-by-step flow, T&amp;C and caps, never a direct-EUR-into-CVU instruction. The user's reliance on a mini-app icon does not convert a third-party SWIFT/SEPA rejection into a Lemon obligation.
Because the funds were rejected by the Argentine banking system and never reached Lemon, there is no Lemon-side execution failure and nothing Lemon can credit, retain or reverse (Principio de Proteccion does not extend to funds outside the provider's possession). Lemon acted in buena fe by identifying the cause and directing the sender's bank (BBVA) to process the return. The user shows no policy violation on the balance of evidence, and there is no genuine ambiguity to resolve in his favour, so the claim fails.</t>
  </si>
  <si>
    <t xml:space="preserve">caso 729280; card payment MERPAGO*RODIUM, 05 Mar 2025</t>
  </si>
  <si>
    <t xml:space="preserve">Card purchase alleged unauthorized (saved-autofill / advertised site)</t>
  </si>
  <si>
    <t xml:space="preserve">A purchase of 89,890 ARS to MERPAGO*RODIUM was debited unintentionally because his card data was saved for autofill and he entered an Instagram-advertised site by mistake.</t>
  </si>
  <si>
    <t xml:space="preserve">The card payment was processed correctly with validation of the user's registered card, no operational failure or security breach; storing card data on the device for autofill is the user's exclusive responsibility and no prior fraud report or card block was requested.</t>
  </si>
  <si>
    <t xml:space="preserve">Proteccion; Transparencia; Buena Fe</t>
  </si>
  <si>
    <t xml:space="preserve">User must show Lemon executed a transaction he did not authorise or that a Lemon-side failure occurred; default = Lemon's action stands.</t>
  </si>
  <si>
    <t xml:space="preserve">Primary - user's own movement detail (89,890 ARS, MERPAGO*RODIUM, VISA Fisica *7998, txn id 7579b3ba-...) and Lemon back-office LEMON_CARD_PAYMENT record; user's "deceptive site" allegation is conclusory and unrebutted as to Lemon's role.</t>
  </si>
  <si>
    <t xml:space="preserve">No decisive token required image verification - both parties agree the card payment occurred and to the same merchant/amount; the dispute is legal characterisation, not a contested figure.</t>
  </si>
  <si>
    <t xml:space="preserve">The transaction was executed with the user's validly-registered card credentials to a third-party merchant (MercadoPago*RODIUM); there is no allegation or evidence of third-party access, identity theft or a Lemon system failure. Saved-autofill card data on the user's own device is the user's custody responsibility; an authorised card payment is not reversible by Lemon merely because the user regrets it. No Informacion/Transparencia duty by Lemon is engaged - any deception was by the third-party website, not Lemon.</t>
  </si>
  <si>
    <t xml:space="preserve">The loss stems from the user's own authorised card payment to a third-party merchant, executed with his validly-registered VISA credentials, as shown in his own movement screenshot and Lemon's back-office record. Under the Principio de Proteccion the consumer is protected against operations made without real consent, but the evidence shows a payment the user's stored credentials authorised, with no third-party intrusion or Lemon security failure. The "engañosa/automatizada" allegation is directed at the advertised website, not at Lemon.
Custody of card data saved for autofill on a personal device falls to the user; an autofilled-then-confirmed card payment is a valid, irreversible transaction. The user reported no unauthorized use and requested no preventive card block. With no Lemon violation of Proteccion, Informacion, Transparencia or Buena Fe shown on the balance of evidence, the claim fails.</t>
  </si>
  <si>
    <t xml:space="preserve">caso 3732923; CRO withdrawal Mar-25-2025</t>
  </si>
  <si>
    <t xml:space="preserve">Crypto deposit not credited (unlisted token/network)</t>
  </si>
  <si>
    <t xml:space="preserve">A CRO (Cronos) deposit from Stake to his Lemon account was confirmed successful at origin but never credited.</t>
  </si>
  <si>
    <t xml:space="preserve">Lemon never received the asset; CRO is an unlisted token sent over an unlisted network; per T&amp;C clause 13.7 unlisted assets/networks cannot be reflected, recovered or re-sent.</t>
  </si>
  <si>
    <t xml:space="preserve">Transparencia; Proteccion; Buena Fe; in dubio pro consumidor</t>
  </si>
  <si>
    <t xml:space="preserve">User must show the CRO reached a valid Lemon address on a supported network (Lemon-side failure); default = Lemon's action stands.</t>
  </si>
  <si>
    <t xml:space="preserve">Primary - user's blockchain-explorer screenshot (Withdraw 287.07856928 CRO, $30.14, Success) and Lemon's listed-assets screenshot (CRO not present) plus clause 13.7; user does not show arrival at a Lemon address.</t>
  </si>
  <si>
    <t xml:space="preserve">Opened Descargo USUARIO page_0002.jpeg - confirms "Withdraw 287.07856928 ($30.14) CRO to..." Success, Mar-25-2025, but the destination address is cut off and no Lemon deposit address or supported network is shown; the screenshot evidences a withdrawal from Stake, not receipt by Lemon.</t>
  </si>
  <si>
    <t xml:space="preserve">The user proves a CRO withdrawal left Stake but not that it arrived at a Lemon-controlled address on a supported network; CRO is absent from Lemon's listed assets. Clause 13.7 is a clearly-disclosed operational limitation (supported assets/networks are shown visibly in the deposit flow and the Wiki/Help centre), not a material consumer protection buried to mislead, so it does not contradict the policy principles. With no evidence Lemon received or retained the funds, there is no Proteccion/Transparencia breach and no genuine ambiguity to resolve pro consumidor.</t>
  </si>
  <si>
    <t xml:space="preserve">The user's own explorer screenshot (image-verified) shows a successful CRO withdrawal from Stake but does not show the funds arriving at any Lemon address or on any Lemon-supported network, and CRO does not appear in Lemon's listed-assets screenshot. The burden is on the user to show a Lemon-side failure; on the balance of evidence he has shown only that funds left the sending platform on an asset/network Lemon does not list.
Lemon's T&amp;C clause 13.7 (unlisted digital assets/networks cannot be reflected) is consistent with the Principio de Transparencia: supported assets and networks are displayed in the deposit flow and explained in the Wiki and Help centre, so this is a disclosed limitation rather than a buried term contradicting the principles. There is no genuine ambiguity to trigger in dubio pro consumidor, and nothing for Lemon to credit from funds it never received. The claim fails.</t>
  </si>
  <si>
    <t xml:space="preserve">lrossicorti (Luciano Mario Rossi Corti); caso 479653; APPLE.COM/BILL, 30 Mar 2025</t>
  </si>
  <si>
    <t xml:space="preserve">Card purchase alleged unauthorized (minor child / App Store)</t>
  </si>
  <si>
    <t xml:space="preserve">A 74,855.52 ARS App Store payment was made accidentally by his 5-year-old daughter pressing confirm, and he expected an automatic refund after cancelling.</t>
  </si>
  <si>
    <t xml:space="preserve">Not fraud, impersonation or a platform failure; the operation came from an active account with valid credentials; T&amp;C clause 3.7 makes the user solely responsible for all operations on his account; no Apple refund has been received but any refund will auto-credit.</t>
  </si>
  <si>
    <t xml:space="preserve">User must show Lemon executed an unauthorised transaction or a Lemon-side failure; default = Lemon's action stands.</t>
  </si>
  <si>
    <t xml:space="preserve">Primary - user's movement detail and Lemon back-office LEMON_CARD_PAYMENT (74,855.52 ARS, APPLE.COM/BILL, VISA Fisica *6301, txn 0acb6e68-..., user Luciano Mario Rossi Corti, ID 479653); not rebutted.</t>
  </si>
  <si>
    <t xml:space="preserve">No decisive token required image verification - amount, merchant and txn id corroborate between the user's screenshot and Lemon's back-office record; the dispute is characterisation, not a contested figure.</t>
  </si>
  <si>
    <t xml:space="preserve">The payment was executed from the user's own account/device with valid credentials to a third-party provider (App Store); device and card custody, including preventing a child from confirming a payment, fall to the account holder under clause 3.7, which restates the ordinary Proteccion-consistent allocation of custodial responsibility. There is no Lemon system failure or unauthorized third-party access. Any reversal lies with Apple, not Lemon, which no longer holds the funds; Lemon undertakes to auto-credit any refund. No Lemon violation is shown.</t>
  </si>
  <si>
    <t xml:space="preserve">The transaction was an App Store card payment executed from the user's own account with valid credentials, as shown in his screenshot and Lemon's back-office record (image fields corroborate amount, merchant and transaction id). Under the Principio de Proteccion the consumer is shielded from operations without real consent, but a payment confirmed on the user's own device - even if physically pressed by his child - is the account holder's responsibility, not a Lemon-side unauthorized execution or security failure.
T&amp;C clause 3.7 (sole responsibility for operations on the account; duty to safeguard payment means) does not contradict the policy principles; it restates the ordinary custodial allocation. The funds have left Lemon to Apple, so any refund must be processed by the provider, and Lemon commits to auto-crediting it if and when it arrives. With no Lemon violation of Proteccion, Transparencia or Buena Fe shown, the claim fails.</t>
  </si>
  <si>
    <t xml:space="preserve">Agustín Elías Espinoza; caso 361168; transfer 03 Abril 2025 18:54</t>
  </si>
  <si>
    <t xml:space="preserve">Unauthorized transfer after lost device (open session)</t>
  </si>
  <si>
    <t xml:space="preserve">After losing his computer with an open Lemon session he could not close in time, 6000 ARS was transferred from his account without his authorisation.</t>
  </si>
  <si>
    <t xml:space="preserve">No system breach, impersonation or out-of-session access detected; the transfer ran from the user's own active, valid session; clause 3.7 requires the user to safeguard credentials and immediately report unauthorized use; the user filed no police/judicial report and made no formal complaint.</t>
  </si>
  <si>
    <t xml:space="preserve">Proteccion; Buena Fe; Transparencia; in dubio pro consumidor</t>
  </si>
  <si>
    <t xml:space="preserve">User must show Lemon executed a transfer without authorisation or suffered a system breach; default = Lemon's action stands.</t>
  </si>
  <si>
    <t xml:space="preserve">Primary - user's Lemon transfer receipt (ARS 6.000,00, 03 Abril 2025, to Lucas Miguel Benitez, Claro Pay, COELSA RD06ZO9W1DEYY33525GP7X) and Lemon's support-chat screenshots; Lemon's annotation that the user said he would not file a denuncia is unrebutted.</t>
  </si>
  <si>
    <t xml:space="preserve">Opened Descargo Lemon page_0002.jpeg (the in-situ "not transcribed" support-chat marker) - bubbles are too small to read verbatim even at full page, but the user's own descargo does not claim any police/judicial report; Lemon's unrebutted annotation that he declined to report stands under the burden of proof.</t>
  </si>
  <si>
    <t xml:space="preserve">The transfer was executed from the user's own active, validated session; by his own account a third party used a device he failed to log out. This is a device/credential-custody failure on the user's side, not a Lemon-side unauthorized execution or system breach. Clause 3.7 (responsibility for account operations and immediate, reliable notification of unauthorized use) is consistent with the principles. With no formal report, no breach evidence and no Lemon failure of Informacion/Proteccion, there is no genuine ambiguity to resolve pro consumidor.</t>
  </si>
  <si>
    <t xml:space="preserve">By the user's own account the transfer occurred from a Lemon session left open on a lost device he failed to log out - a custody failure of his device and credentials, not a Lemon-side unauthorized execution or a system breach. The Principio de Proteccion protects against compromised security, but the compromise here originated outside Lemon's control, and the operation ran from a valid, authenticated session with no prior alert.
Clause 3.7 obliges the user to safeguard credentials and to report unauthorized use immediately by reliable means; the user filed no police or judicial complaint and, per Lemon's unrebutted support-chat annotation, declined to do so, leaving Lemon without the documentation needed to treat the operation as illicit. With no evidence of a Lemon breach or violation of Proteccion, Transparencia or Buena Fe, and no genuine ambiguity, the claim fails.</t>
  </si>
  <si>
    <t xml:space="preserve">caso 3098856; UNO/Worldcoin send 1000 "WLD Pi"</t>
  </si>
  <si>
    <t xml:space="preserve">Crypto deposit not credited (fake/replica token)</t>
  </si>
  <si>
    <t xml:space="preserve">A 28 USD deposit via Worldcoin to his soles account was never credited and the promised return to his Worldcoin account never arrived.</t>
  </si>
  <si>
    <t xml:space="preserve">The token is not listed; investigation of the hash showed the asset sent is not official WLD but a third-party replica/imitation token, so per clause 13.7 it cannot be credited, recovered or re-sent.</t>
  </si>
  <si>
    <t xml:space="preserve">User must show a genuine listed asset reached Lemon on a supported network; default = Lemon's action stands.</t>
  </si>
  <si>
    <t xml:space="preserve">Primary - user's own UNO-wallet screenshot ("Has enviado 1000 WLD Pi a 0xB738...d46a") and Lemon's listed-assets screenshot (no WLD) plus clause 13.7; the user's own evidence corroborates Lemon's replica-token finding.</t>
  </si>
  <si>
    <t xml:space="preserve">Opened Descargo USUARIO page_0002.jpeg - confirms "Has enviado 1000 WLD Pi a 0xB738...d46a"; "WLD Pi" is a replica/scam token distinct from official Worldcoin WLD, corroborating Lemon and explaining the 1000-units-vs-claimed-28-USD mismatch.</t>
  </si>
  <si>
    <t xml:space="preserve">The user's own screenshot shows he sent 1000 "WLD Pi" - a third-party replica token, not official WLD and not a Lemon-listed asset on a supported network. Clause 13.7 (unlisted assets/networks cannot be reflected) is a clearly-disclosed limitation consistent with Transparencia, and Lemon has no control over counterfeit tokens on open networks. The loss arises from the user sending a fake token, not from any Lemon failure; there is no genuine ambiguity to resolve pro consumidor.</t>
  </si>
  <si>
    <t xml:space="preserve">The user's own evidence (image-verified) shows he sent 1000 "WLD Pi", a replica/imitation of Worldcoin's WLD, to an external address - not the official, Lemon-listed WLD asset, and not over a supported network. This corroborates Lemon's investigation of the transaction hash and explains the discrepancy with the claimed 28 USD. Under the Principio de Transparencia the supported assets are displayed in the deposit flow and the Wiki, so the limitation was disclosed, not buried.
T&amp;C clause 13.7 (unlisted assets/networks cannot be reflected) does not contradict the policy principles, and Lemon has no technical means to credit, recover or reverse a counterfeit token created on an open network it never received as a listed asset. The loss stems from the user transmitting a fake token, not from a Lemon violation, and there is no genuine ambiguity to invoke in dubio pro consumidor. The claim fails.</t>
  </si>
  <si>
    <t xml:space="preserve">caso 2180383; ARS 50.000 withdrawal 25 Mar 2025; COELSA 46YGOW9M8P074J1M9EXD8J</t>
  </si>
  <si>
    <t xml:space="preserve">Outbound ARS withdrawal not arriving at destination bank</t>
  </si>
  <si>
    <t xml:space="preserve">An ARS 50,000 withdrawal made 14 days ago never reached its destination and support did not respond.</t>
  </si>
  <si>
    <t xml:space="preserve">The withdrawal was correctly generated and authorised from the user's account (irrevocable mandate, clause 3.7), funds left the Lemon ecosystem and are irreversible; the user should contact the receiving platform with the COELSA ID.</t>
  </si>
  <si>
    <t xml:space="preserve">User must show Lemon failed to execute the withdrawal he authorised; default = Lemon's action stands.</t>
  </si>
  <si>
    <t xml:space="preserve">Primary - user's Lemon receipt (50.000,00 ARS, 25 Mar 2025, CBU 0110314230031419691151, Cordoba Hector Enrique, COELSA 46YGOW9M8P074J1M9EXD8J) and Lemon back-office VIRTUAL_WITHDRAWAL (-50000 ARS); the COELSA ID matches across both submissions.</t>
  </si>
  <si>
    <t xml:space="preserve">No decisive token required image verification - the COELSA ID 46YGOW9M8P074J1M9EXD8J and the 50,000 ARS amount cross-corroborate between the user's own receipt and Lemon's back-office record and second screenshot, so the executed-and-left-Lemon fact is not in dispute.</t>
  </si>
  <si>
    <t xml:space="preserve">The user's own receipt shows a completed withdrawal to a specified CBU with a valid COELSA ID, and Lemon's back-office shows the matching VIRTUAL_WITHDRAWAL. Lemon executed the instruction the user authorised; the funds left the ecosystem and the operation is irreversible. Any non-arrival is attributable to the receiving entity, and Lemon discloses the COELSA ID so the user can trace it - satisfying Transparencia. No Lemon-side failure of Proteccion is shown.</t>
  </si>
  <si>
    <t xml:space="preserve">The user's own transfer receipt shows a completed ARS 50,000 withdrawal to a specified CBU with COELSA ID 46YGOW9M8P074J1M9EXD8J, matching Lemon's back-office VIRTUAL_WITHDRAWAL record (COELSA ID corroborated across both submissions). Lemon executed exactly the instruction the user authorised; the funds left the Lemon ecosystem and the operation is irreversible, so the delay lies with the receiving bank, not with Lemon.
Consistent with the Principio de Transparencia, Lemon discloses the COELSA identifier and directs the user to the receiving platform to trace the credit, which is the appropriate channel for a downstream banking delay. There is no evidence of a Lemon execution failure or breach of Proteccion or Buena Fe, so on the balance of evidence the claim fails.</t>
  </si>
  <si>
    <t xml:space="preserve">caso 3788848; two Yape soles transfers, 13 Abril 2025 01:17</t>
  </si>
  <si>
    <t xml:space="preserve">Duplicate outbound transfer after retry (Peruvian fiat cash-out)</t>
  </si>
  <si>
    <t xml:space="preserve">After an error on the first 100-soles Yape transfer he pressed "reintentar"; both attempts were debited but the recipient received only one, leaving the second 100 soles lost.</t>
  </si>
  <si>
    <t xml:space="preserve">Both transfers were processed correctly and left the platform successfully, each with its own operation number; both were instructed and authorised from the user's account; per the irrevocable mandate the operations cannot be reversed; the user should claim with Yape using the two operation numbers.</t>
  </si>
  <si>
    <t xml:space="preserve">Proteccion; Transparencia; Buena Fe; in dubio pro consumidor</t>
  </si>
  <si>
    <t xml:space="preserve">User must show the second debit was a Lemon system duplication rather than a second transfer he authorised; default = Lemon's action stands.</t>
  </si>
  <si>
    <t xml:space="preserve">Primary - user's two Lemon receipts (each S/100, same Yape CCI 00257017344105904101 / Dario Joel Ruiz Leyva, distinct operation numbers ...186675 and ...335495 and distinct txn ids) plus activity list showing the second initially "Pendiente" then "Completo"; Lemon back-office PERUVIAN_FIAT_CASH_OUT records cite both operation numbers; recipient's non-receipt is asserted but unevidenced.</t>
  </si>
  <si>
    <t xml:space="preserve">Opened and cropped Descargo USUARIO page_0002.jpeg and page_0003.jpeg - confirmed two distinct operation numbers (2025041301175409224152186675 with txn 120a3389-... and 2025041301170609224152335495 with txn 8e69ba84-...), both "Completo", both to the same Yape CCI; Lemon's descargo lists exactly these two operation numbers, so two distinct, fully-formed authorised cash-outs are confirmed (not a phantom system duplicate).</t>
  </si>
  <si>
    <t xml:space="preserve">The two debits carry distinct operation numbers, distinct transaction ids and both completed to the same valid destination CCI of the intended payee - hallmarks of two separately-instructed transfers, not a single system-generated duplicate. The retry produced a second authorised cash-out that Lemon executed correctly; the funds left the ecosystem and are irreversible. Whether the payee received the second is a matter for Yape, and Lemon supplies both operation numbers to pursue it, satisfying Transparencia. The evidence does not show a Lemon operational duplication, so the pro-consumer angle (a phantom debit Lemon should bear) is not made out and in dubio pro consumidor is not triggered.</t>
  </si>
  <si>
    <t xml:space="preserve">The decisive question is whether the second 100-soles debit was a Lemon system duplication or a second transfer the user authorised on retry. The user's own receipts (image-verified) carry two distinct operation numbers and two distinct transaction ids, both completed to the same valid Yape CCI of the intended recipient, and Lemon's back-office cites both operation numbers. These are two fully-formed, separately-numbered cash-outs, not a phantom duplicate generated by a glitch, so the bias-check pro-consumer reading (a system error Lemon should absorb under Proteccion) is not supported by the evidence.
Both transfers left the Lemon ecosystem and are irreversible; whether the payee received the second is a downstream Yape matter, and Lemon discloses both operation numbers to enable the user's claim, consistent with Transparencia. The user's assertion that the recipient received only one rests on the recipient's word with no corroborating evidence and does not establish a Lemon execution failure. With no Lemon violation shown and no genuine ambiguity in the records, in dubio pro consumidor is not engaged and the claim fails.</t>
  </si>
  <si>
    <t xml:space="preserve">Lemontag jmasco / Caso 101 (157435); Apple refund screenshot dated 15 Apr 2025</t>
  </si>
  <si>
    <t xml:space="preserve">Unauthorized/third-party card transaction + refund not credited</t>
  </si>
  <si>
    <t xml:space="preserve">A minor bought an EPIK PRO subscription (USD 29.99) on the user's Lemon card without authorization, Apple approved a refund, but Lemon never credited it.</t>
  </si>
  <si>
    <t xml:space="preserve">The card payment was a valid, authorized transaction with valid credentials (no fraud/breach); funds left at purchase; Lemon never received any refund credit from Apple, so it cannot refund.</t>
  </si>
  <si>
    <t xml:space="preserve">Protección; Información; Buena Fe; Transparencia</t>
  </si>
  <si>
    <t xml:space="preserve">User must show Lemon executed an unauthorized transaction or failed a duty; default = Lemon's action stands.</t>
  </si>
  <si>
    <t xml:space="preserve">User's Apple "Reembolsado" screenshot (secondary, not rebutted) shows refund applied to Apple ID morenaibanez3407@gmail.com; Lemon's LEMON_CARD_PAYMENT screenshot (primary, not rebutted) shows holder josemusic74/jmasco, -49344.05 ARS to APPLE.COMBILL.</t>
  </si>
  <si>
    <t xml:space="preserve">2 items verified against page images. User page_0002: refund "Reembolsado", EPIK PRO USD 29,99, 15 Apr 2025, Apple ID morenaibanez3407@gmail.com (a DIFFERENT account than the Lemon holder). Lemon page_0002: card payment to APPLE.COMBILL, holder Jesus...freitas/josemusic74/jmasco — confirmed. No .md-vs-image discrepancy affecting the vote.</t>
  </si>
  <si>
    <t xml:space="preserve">The transaction was authorized via valid credentials using the user's own card; a household minor's use does not make it a Lemon-side unauthorized execution (T&amp;C 3.7 custody duty, consistent with the principles). Apple refunds revert to the original payment instrument automatically; Lemon does not manually process Apple refunds and stated it received no credit. The user's own evidence shows the refund tied to a different Apple ID, undercutting that the credit ever reached this Lemon account. No failure of Información/Transparencia by Lemon and no movement of funds without authorization.</t>
  </si>
  <si>
    <t xml:space="preserve">The challenged operation was a card payment executed from the user's account with valid credentials, with no improper access or security failure attributable to Lemon. The use of the card by a household minor does not turn the transaction into an unauthorized execution on Lemon's part; the duty of custody over the payment instrument rests with the holder (clause 3.7, which does not contradict the policy principles). No violation of the principles of Protección or Información is established.
According to the screenshot provided by the user, the Apple refund appears applied to the Apple ID "morenaibanez3407@gmail.com", which is different from the holder of the Lemon account (lemontag jmasco, josemusic74@gmail.com). Apple refunds are credited automatically to the original payment instrument; Lemon states that it has not received any credit and has no power to advance funds that never entered its platform.
Applying the burden of proof, the user does not establish a violation by Lemon nor that the credit actually reached his Lemon account. The loss, if any, derives from the use of the payment instrument itself by a third party and from Apple's refund circuit, which is external to Lemon. The matter should be resolved in favor of Lemon.</t>
  </si>
  <si>
    <t xml:space="preserve">Lemontag slcuervosl (Rodrigo de la Espada) / Caso 102 (89886); transfer 30 Apr 2025 11:03</t>
  </si>
  <si>
    <t xml:space="preserve">ARS transfer completed but allegedly not received by recipient</t>
  </si>
  <si>
    <t xml:space="preserve">A transfer made 10+ hours ago never reached the recipient nor was refunded, and support was unresponsive (222 in queue).</t>
  </si>
  <si>
    <t xml:space="preserve">The transfer was authorized and executed per the user's instructions (irrevocable mandate, clause 3.7); a COELSA ID was assigned; funds left the ecosystem; any delay is the receiving bank's, and the user should trace via the COELSA ID.</t>
  </si>
  <si>
    <t xml:space="preserve">User must show Lemon failed to execute the instruction or sent to a wrong destination; default = Lemon's action stands.</t>
  </si>
  <si>
    <t xml:space="preserve">User's Digifin comprobante (primary, not rebutted): ARS 5,000.00 to CBU 0070002330004202488887 (Galicia, Sergio Gabriel Mantegazza), COELSA ID D4RO172VEVKJ7MQ0NKJ3QE; Lemon's VIRTUAL_WITHDRAWAL screenshot (primary, not rebutted) same COELSA ID.</t>
  </si>
  <si>
    <t xml:space="preserve">3 items verified (decisive). User page_0003: CBU 0070002330004202488887, COELSA D4RO172VEVKJ7MQ0NKJ3QE. Lemon page_0001 (cropped "Más información"): "Cuenta de destino 0070002330004202488887" — MATCHES the user's CBU exactly; same COELSA ID. The .md had OCR'd the Lemon destination as "0070000300042648887" — DISCREPANCY corrected via image to 0070002330004202488887; effect: confirms Lemon sent to the exact CBU the user instructed (favours Lemon, removes the only pro-user angle). (Also corrected: lemontag slcuervosl, Tax ID 20352418510.)</t>
  </si>
  <si>
    <t xml:space="preserve">The transfer was authorized by the user (comprobante "Enviado por Rodrigo de la Espada") and completed — the assignment of a COELSA ID evidences successful egress into interbank clearing. The image-verified destination CBU matches the user's instruction exactly, so there is no Lemon-side mis-routing. Funds are outside Lemon's control; Lemon disclosed the COELSA ID and advised tracing with the receiving institution (Información satisfied). The support-queue complaint is a service grievance, not the cause of any loss.</t>
  </si>
  <si>
    <t xml:space="preserve">The ARS 5,000 transfer was instructed and confirmed by the user himself, as shown in the Digifin receipt he himself provides ("Enviado por Rodrigo de la Espada"). The assignment of a COELSA ID (D4RO172VEVKJ7MQ0NKJ3QE), identical in the user's receipt and in Lemon's internal detail, demonstrates that the operation correctly egressed into the interbank clearing system.
I verified against the page image the "Cuenta de destino" field of Lemon's detail: it matches exactly the CBU on the user's receipt (0070002330004202488887, Galicia, Sergio Gabriel Mantegazza). There is therefore no diversion or routing error attributable to Lemon. In accordance with the irrevocable nature of the instruction, the funds left the ecosystem and Lemon has no power to reverse them.
Any delay or non-crediting corresponds to the receiving institution, and Lemon provided the COELSA identifier for its tracing, satisfying the principle of Información. The complaint about the support queue does not constitute the cause of the loss nor a violation of the principles. The matter should be resolved in favor of Lemon.</t>
  </si>
  <si>
    <t xml:space="preserve">Caso 103 (552407); two ETH withdrawals 22 Apr 17:31 and 23 Apr 04:06 (2025)</t>
  </si>
  <si>
    <t xml:space="preserve">Crypto withdrawal sent on wrong network (Arbitrum vs ERC-20) chosen by user</t>
  </si>
  <si>
    <t xml:space="preserve">Two ETH transfers were sent via Arbitrum but the recipient uses Ethereum (ERC-20), so funds weren't credited; Lemon gave no clear network-incompatibility warning, so the transactions should be reversed/recovered.</t>
  </si>
  <si>
    <t xml:space="preserve">Both withdrawals completed correctly on Arbitrum with valid hashes per the user's own selection; crypto sends are irreversible (clauses 3.2/3.3) and T&amp;C clause 6 excludes liability for sends via incorrect networks; the network was chosen by the user.</t>
  </si>
  <si>
    <t xml:space="preserve">Información; Transparencia; Protección; Buena Fe</t>
  </si>
  <si>
    <t xml:space="preserve">User must show Lemon failed to warn (Información) or caused the wrong-network send; default = Lemon's action stands.</t>
  </si>
  <si>
    <t xml:space="preserve">User's two withdrawal screenshots (primary, not rebutted): "Completo / Tu envío ya fue realizado", Red = Arbitrum, with valid tx hashes to 0x61715fd2...abdb9667; user admits "yo utilicé la red Arbitrum".</t>
  </si>
  <si>
    <t xml:space="preserve">2 items verified. User page_0002: both transactions "Completo", Red "Arbitrum" (both), hashes and destination wallet confirmed. No .md-vs-image discrepancy. Decisive admission (user chose Arbitrum) confirmed in the user's own text.</t>
  </si>
  <si>
    <t xml:space="preserve">The loss stems from the user's own authorized action — manually selecting the Arbitrum network for a destination configured only for ERC-20. The sends completed on-chain (valid hashes) and are irreversible; the funds never failed on Lemon's side. Clause 6 (no liability for wrong-network sends) does not contradict the principles because it reflects an immutable blockchain reality, and the user expressly admits choosing the network. There is no evidence Lemon misrepresented the network or executed anything contrary to the user's instruction.</t>
  </si>
  <si>
    <t xml:space="preserve">The user himself acknowledges in his statement that he manually selected the Arbitrum network to send the funds, while the recipient operated on Ethereum (ERC-20). The two operations appear as "Completo / Tu envío ya fue realizado" in the screenshots he himself provides, with valid hashes to the indicated wallet, which confirms the effective execution on the chain in accordance with his instruction.
Blockchain transactions are irreversible once confirmed (clauses 3.2 and 3.3), and clause 6 of the Terms and Conditions excludes liability for sends through incorrect networks. This limitation does not contradict the policy principles, since it reflects an immutable technical characteristic of the ecosystem and not a deceptive practice.
It is not established that Lemon misrepresented the network or executed anything different from what was instructed; the network selection error was the user's. The loss derives from his own authorized action, so the matter should be resolved in favor of Lemon.</t>
  </si>
  <si>
    <t xml:space="preserve">Irina Magali Feito / lemontag ifeito07 / Caso 104 (512851); charges 18 &amp; 21 Mar 2025</t>
  </si>
  <si>
    <t xml:space="preserve">Alleged unauthorized card use / phishing (desconocimiento de compras)</t>
  </si>
  <si>
    <t xml:space="preserve">She was victim of unauthorized card use/phishing — a $2,981.81 ARS charge and a 22.44 DAI charge at cs-kabudget.com — and asks for refund plus lost earn yield.</t>
  </si>
  <si>
    <t xml:space="preserve">Full traceability shows the user herself deposited $4,000 minutes before the $2,981.81 charge and withdrew the $1,018.19 remainder minutes after, from an authenticated environment with valid credentials; the second charge was an automatic renewal of the same merchant — no unauthorized access or system failure.</t>
  </si>
  <si>
    <t xml:space="preserve">Protección; Buena Fe; Transparencia; Información; (morality screen)</t>
  </si>
  <si>
    <t xml:space="preserve">User must show the charges were unauthorized/Lemon-side failure; default = Lemon's action stands.</t>
  </si>
  <si>
    <t xml:space="preserve">Lemon's activity table + back-office detail (primary, not rebutted): two VIRTUAL_DEPOSITs +2,000 at 13:05:14/13:05:51, LEMON_CARD_PAYMENT -2,981.81 at 13:07, VIRTUAL_WITHDRAWAL -1,018.19 at 13:12:56; cardholder Irina Magali Feito (ID 512851).</t>
  </si>
  <si>
    <t xml:space="preserve">2 items verified. Lemon page_0001: deposit/charge/withdrawal timeline confirmed verbatim. Cropped back-office panel: holder "Irina Magali Feito", iriana.feito@bue.edu.ar, ifeito07, ID 512851, Trx 8d61b4c1...931d34 (= the user's own evidence). No .md-vs-image discrepancy.</t>
  </si>
  <si>
    <t xml:space="preserve">The image-verified timeline shows the user funded the exact charge minutes before it posted and swept the remainder minutes after, all from her own authenticated account — conduct incompatible with the "unauthorized/phishing" narrative. The operations were her own authorized actions; the second charge is a renewal of the same merchant. No failure of Protección/Información by Lemon and no unauthorized execution. Although the contradiction between the desconocimiento claim and her own funding behaviour raises a perjury concern, the case is cleanly disposed of on the merits (user-authorized), which is the Schelling resolution rather than RtA.</t>
  </si>
  <si>
    <t xml:space="preserve">The traceability provided by Lemon, verified against the page image, demonstrates a decisive sequence: the user made two deposits of $2,000 at 13:05:14 and 13:05:51, immediately before the debit of $2,981.81 (13:07), and withdrew the remaining balance of $1,018.19 at 13:12:56. This behaviour — funding the exact amount of the charge and sweeping the rest minutes later — is incompatible with the allegation of unauthorized use or phishing.
The back-office panel confirms that the charge (Trx 8d61b4c1...931d34, the same identifier the user herself provides) corresponds to the account of Irina Magali Feito (ID 512851), operated from an authenticated environment with valid credentials, with no improper access or security failure. The second operation is a renewal of the same merchant. There is no violation of the principles of Protección, Información or Buena Fe on Lemon's part.
Although the contradiction between the alleged disavowal and the user's own funding conduct raises doubts about her good faith, the case is resolved on the merits: the operations were authorized by her. The matter should be resolved in favor of Lemon.</t>
  </si>
  <si>
    <t xml:space="preserve">Rodrigo Ezequiel Monges / Caso 105 (3815665); transfer 6 May 2025 14:08</t>
  </si>
  <si>
    <t xml:space="preserve">Off-platform Mercado Pago deposit to a Lemon user's CVU, funds credited as 1xbet "bono"</t>
  </si>
  <si>
    <t xml:space="preserve">A $28,000 transfer from Mercado Pago (intended for 1xbet) was credited as an unusable "bono"; asks Lemon to intervene as the intermediary channel.</t>
  </si>
  <si>
    <t xml:space="preserve">The transfer originated from Mercado Pago (outside Lemon); Lemon's only role was a Lemon user receiving funds at her CVU (Sabrina Del Valle Rojas), who withdrew immediately; the user reported 7 days late (13 May); Lemon preventively blocked the receiving account after the report.</t>
  </si>
  <si>
    <t xml:space="preserve">User must show a Lemon-side failure or improper handling; default = Lemon's action stands.</t>
  </si>
  <si>
    <t xml:space="preserve">User's Mercado Pago comprobante (primary, not rebutted): $28,000 from Rodrigo Monges to Sabrina Del Valle Rojas (LEMON CVU), code 0V1JXON1DP34GMZV9Z64EL; Lemon's "Pablo de Lemon" email (secondary, not rebutted) confirming account suspended but funds already withdrawn.</t>
  </si>
  <si>
    <t xml:space="preserve">No decisive token required image verification — the outcome is lopsided and documented in the OCR'd text: the transfer indisputably originated from Mercado Pago (not Lemon) and 1xbet's "bono" treatment is a third-party matter; reading any single token differently could not change the result.</t>
  </si>
  <si>
    <t xml:space="preserve">Lemon neither emitted nor approved the payment and did not intermediate the user-1xbet relationship; it merely hosted a receiving CVU. The "bono" grievance is entirely a 1xbet matter, and any recovery from the receiving Lemon user was foreclosed by the user's own 7-day delay before reporting. Lemon acted diligently on first notice (preventive block) and advised a police report. No failure of any principle attributable to Lemon; the loss arises from third parties (1xbet and the P2P counterparty).</t>
  </si>
  <si>
    <t xml:space="preserve">The $28,000 transfer was instructed and executed from Mercado Pago, outside the Lemon platform, according to the very receipt provided by the user. Lemon's role was limited to hosting the CVU of a receiving user (Sabrina Del Valle Rojas); Lemon did not emit or approve the payment, nor did it intermediate in the relationship between the user and 1xbet. The crediting of the amount as a "bono" is a matter exclusively for 1xbet.
According to the support email provided, the receiving account was suspended after the report, but the funds had already been withdrawn minutes after their receipt. The user only reported the event seven days after the operation (13 May), which foreclosed any freezing measure. Lemon acted with diligence upon the first notice.
There is no technical error, improper access or breach attributable to Lemon. The controversy is a conflict between the user, the receiving merchant (1xbet) and the user who received the funds. The matter should be resolved in favor of Lemon.</t>
  </si>
  <si>
    <t xml:space="preserve">Brayan Rommel Morales Terrazas / Caso 106 (3963737); transfers 1 Jun 2025</t>
  </si>
  <si>
    <t xml:space="preserve">PEN (Soles) cash-out transfers to Yape debited but allegedly not credited</t>
  </si>
  <si>
    <t xml:space="preserve">Several 1 June transfers to Yape (including to his own accounts) were debited but never credited; support gave an unfulfilled 48h estimate.</t>
  </si>
  <si>
    <t xml:space="preserve">Three PERUVIAN_FIAT_CASH_OUT transfers were instructed by the user and completed ("Completada") with destination CCI and external IDs; once debited, Lemon loses all control; instructions are irrevocable; user should trace with Yape using the transaction ID.</t>
  </si>
  <si>
    <t xml:space="preserve">User must show Lemon failed to execute or sent to wrong destinations; default = Lemon's action stands.</t>
  </si>
  <si>
    <t xml:space="preserve">Lemon's three back-office screenshots (primary, not rebutted): PEN 30 -&gt; Cila Gedalicia Huacho Alcedo, PEN 10 -&gt; Bryham Rodrigo Morales Terrazas, PEN 1 -&gt; Bryham Ysmael Morales Terrazas, all "Completada" to YAPE; corroborated by the user's own Yape constancias (PEN 30/10/1, same names/times).</t>
  </si>
  <si>
    <t xml:space="preserve">2 items verified (decisive). Lemon page_0002: all three transfers show green "Completada" badge. Cropped first transfer: status Completada, -30.00 PEN, created 1/6/2025 14:12:21 (ARG time = 12:12 PE, consistent with the 2h note), Nombre destino "Cila Gedalicia Huacho Alcedo", CCI Destino 00219110660948104153, Banco destino YAPE, External ID present — corroborates the user's own PEN 30 Yape receipt (recipient "Cira Gedishica Huacho Alcedo", 12:12). No discrepancy affecting the vote (minor name-spelling variants only).</t>
  </si>
  <si>
    <t xml:space="preserve">The transfers were authorized by the user and image-verified as "Completada", each with a destination CCI and an external tracking ID, matching the user's own Yape constancias by amount, recipient and time. Once debited and cursed to the receiving wallet, the funds left Lemon's ecosystem (irrevocable instruction). Any non-crediting is attributable to the receiving institution (Yape), and Lemon disclosed the tracking IDs and advised the user to trace with Yape (Información satisfied). No Lemon-side technical failure or principle violation is shown.</t>
  </si>
  <si>
    <t xml:space="preserve">The three PERUVIAN_FIAT_CASH_OUT transfers were instructed by the user and appear as "Completada" in Lemon's internal detail, as I verified in the page image. The first operation (PEN 30.00, created on 1/6/2025 14:12:21 Argentine time) records the destination name, destination CCI (00219110660948104153), YAPE wallet and a tracking External ID, and matches the user's own Yape receipt (PEN 30.00 to "Cira Gedishica Huacho Alcedo", 12:12 Peruvian time).
Once the funds were debited and cursed, they left Lemon's ecosystem in accordance with the irrevocable nature of the instruction. Lemon has no power to reverse or trace the subsequent circuit within the receiving institution. Any failure to credit corresponds to Yape.
Lemon provided the transaction identifiers and suggested contacting the receiving wallet, satisfying the principle of Información. No technical failure or breach attributable to Lemon is established. The matter should be resolved in favor of Lemon.</t>
  </si>
  <si>
    <t xml:space="preserve">Caso 107 (4049515); WLD send 8 Jun 2025 11:49</t>
  </si>
  <si>
    <t xml:space="preserve">Crypto (WLD) deposit sent to a non-Lemon address; user alleges "link changed"</t>
  </si>
  <si>
    <t xml:space="preserve">He sent 30 WLD (S/121.39) following a "link generated by Lemon" to 0x33a945940D4f3FC0909dB362f1470331c0317e0D, but a different link was later generated and funds were never credited; support didn't respond.</t>
  </si>
  <si>
    <t xml:space="preserve">That address is NOT a Lemon-assigned deposit address; Lemon assigns static deposit addresses (not "links"), visible in-app; they don't change; the funds never entered Lemon, so they cannot be credited or recovered.</t>
  </si>
  <si>
    <t xml:space="preserve">User must show the destination was a Lemon-assigned address or a Lemon failure; default = Lemon's action stands.</t>
  </si>
  <si>
    <t xml:space="preserve">User's Worldcoin screenshot (primary, not rebutted): "Enviaste Worldcoin / 30 WLD / Completada / Enviado a 0x33...7e0d"; user provides NO evidence the address was ever Lemon-assigned to him.</t>
  </si>
  <si>
    <t xml:space="preserve">1 item verified. User page_0002: send confirmed "Completada", 30 WLD, "Enviado a 0x33...7e0d" (consistent with the full address 0x33a945...0317e0D cited by both parties). No .md-vs-image discrepancy. The user submitted no image showing this address was a Lemon deposit address — the pivotal absence stands.</t>
  </si>
  <si>
    <t xml:space="preserve">The user bears the burden of showing the destination was a Lemon-controlled address; he submits only proof that he sent WLD to 0x33a945..., with no evidence it was ever assigned to him by Lemon. Lemon states deposit addresses are static and that this one is not its address, and the user's "link changed" theory is unsubstantiated. Crypto sends are irreversible and the funds never entered Lemon's infrastructure, so there is nothing for Lemon to credit. No failure of Información is shown.</t>
  </si>
  <si>
    <t xml:space="preserve">The user establishes only that he sent 30 WLD to the address 0x33a945940D4f3FC0909dB362f1470331c0317e0D ("Completada" in his own screenshot), but provides no evidence that this address was assigned to his account by Lemon. Lemon categorically states that this address does not belong to it and that the deposit addresses it assigns are static and visible in the application, not replaced by "links".
The burden of proof rests with the user, who must demonstrate that the destination was an address controlled by Lemon or a failure attributable to the platform. The theory that "the link changed" finds no support in the evidence and is foreign to the operation of static deposit addresses.
As this is an irreversible crypto transaction whose funds never entered Lemon's infrastructure, there is no possible crediting nor breach of the principle of Información. The matter should be resolved in favor of Lemon.</t>
  </si>
  <si>
    <t xml:space="preserve">Caso 108 (4093903); WLD send 12 Jun 2025 7:25 p.m.</t>
  </si>
  <si>
    <t xml:space="preserve">Crypto (WLD) copy-paste send to wrong address, executed inside World App</t>
  </si>
  <si>
    <t xml:space="preserve">Sending WLD from World App to his Lemon address, the pasted address didn't match what he copied, so funds went to a wrong address he can't access — a possible flaw in the address process.</t>
  </si>
  <si>
    <t xml:space="preserve">The destination address is not associated with Lemon; the send was completed and validated within World App (external); the copy-paste error is the user's action outside Lemon; crypto sends are irreversible and the funds never entered Lemon, which provides clear deposit instructions and network warnings.</t>
  </si>
  <si>
    <t xml:space="preserve">User must show a Lemon-side technical failure or that funds reached Lemon; default = Lemon's action stands.</t>
  </si>
  <si>
    <t xml:space="preserve">User's own World App screenshots (primary, not rebutted): sent 29.99908 WLD to 0xde52c3dc9bd45068f08b0686873ad11865b6f0d3, whereas his actual Lemon WLD deposit address is 0xc133F3dCc76bD4c563C3eBe421844720e1A39F91 — two entirely different addresses.</t>
  </si>
  <si>
    <t xml:space="preserve">3 items verified (decisive). User page_0002: send "Completada", destination 0xde52c3dc9bd45068f08b0686873ad11865b6f0d3. User page_0003: Lemon deposit address 0xc133F3dCc76bD4c563C3eBe421844720e1A39F91 (World Chain) with the warning "Asegurate de depositar WLD desde la red World Chain. De lo contrario, perderás tus fondos." The two addresses bear no resemblance — confirms the send did NOT go to the user's Lemon address. No .md-vs-image discrepancy.</t>
  </si>
  <si>
    <t xml:space="preserve">By the user's own evidence, the funds went to 0xde52...f0d3, which is wholly different from his Lemon WLD address 0xc133...9F91 — not a subtle clipboard corruption but a different address entirely, and the send executed inside World App (external to Lemon). The funds never entered Lemon's infrastructure, and crypto transactions are irreversible. Lemon's deposit screen displayed both the correct address and an explicit network/loss warning, satisfying the Información duty. The loss is the user's own authorized external action; no Lemon-side failure is shown.</t>
  </si>
  <si>
    <t xml:space="preserve">The user's own screenshots demonstrate that he sent 29.99908 WLD to the address 0xde52c3dc9bd45068f08b0686873ad11865b6f0d3, whereas his WLD deposit address at Lemon is 0xc133F3dCc76bD4c563C3eBe421844720e1A39F91. These are completely different addresses, which confirms that the funds were not sent to his Lemon account. The operation was executed and validated inside the World App application, outside Lemon's ecosystem.
Lemon's deposit screen shows the correct address together with the express warning "Asegurate de depositar WLD desde la red World Chain. De lo contrario, perderás tus fondos", which satisfies the principle of Información. The copy-and-paste error is the user's action outside Lemon's control.
Crypto transactions are irreversible and the funds never entered an address controlled by Lemon, so the platform has no technical means to recover them. The loss derives from the user's own authorized action. The matter should be resolved in favor of Lemon.</t>
  </si>
  <si>
    <t xml:space="preserve">Caso 109 / ID 1029153; withdrawal dated 2025-05-25</t>
  </si>
  <si>
    <t xml:space="preserve">Crypto deposit lost — wrong/unlisted network (opBNB)</t>
  </si>
  <si>
    <t xml:space="preserve">User sent 100 USDT from Binance to his Lemon address on a network he says Lemon listed as enabled, and the funds never credited.</t>
  </si>
  <si>
    <t xml:space="preserve">The deposit was sent over opBNB, a network Lemon does not list for USDT (T&amp;C 13.7), so funds were technically unrecoverable and never reached Lemon.</t>
  </si>
  <si>
    <t xml:space="preserve">Informacion; Transparencia; Proteccion; Buena Fe</t>
  </si>
  <si>
    <t xml:space="preserve">User must show Lemon failed a duty or moved funds without authorisation; default is Lemon's action stands.</t>
  </si>
  <si>
    <t xml:space="preserve">Primary — Binance withdrawal screenshot (Red: OPBNB) and Lemon's in-app deposit-network selector; not rebutted by user.</t>
  </si>
  <si>
    <t xml:space="preserve">Verified user page_0003 (Red = OPBNB, 100 USDT, completed) and Lemon page_0003 deposit-network list (Arbitrum, Avalanche, BNB Chain/BEP20, Celo, Ethereum, Optimism, Polygon, Tron) — opBNB absent, distinct from BNB/BEP20; .md matches images.</t>
  </si>
  <si>
    <t xml:space="preserve">The user's own evidence shows the send was on opBNB, which is not among the networks Lemon publicly displays in-app before any deposit; opBNB is a separate chain from the listed BNB Chain (BEP20). The supported-network information is on the public deposit screen, not buried in T&amp;C, so the Informacion/Transparencia duties were met (contrast calibration case 147). The loss flows from the user's own authorised act of selecting an unsupported network, and red/direccion incompatibility makes the funds unrecoverable. No Lemon-side execution failure or unauthorised movement.</t>
  </si>
  <si>
    <t xml:space="preserve">The screenshots provided by the user himself show that the withdrawal from Binance was made over the OPBNB network (100 USDT, completed on 2025-05-25). The screenshot of Lemon's "Redes de depósito" selector, verified against the page image, lists Arbitrum, Avalanche (C-Chain), BNB Chain (BEP20), Celo, Ethereum (ERC20), Optimism, Polygon and Tron (TRC20); opBNB does not appear and is a network distinct from BNB Chain (BEP20). The information on supported networks is public and visible in the app before operating, not hidden in the Terms and Conditions, so the principles of Información and Transparencia are met (unlike case 147, where the limit was buried in the T&amp;C).
Clause 13.7 of the T&amp;C, consistent with those principles, warns that sends over unlisted networks will not be reflected in the account. The loss derives from the user's own authorized act of choosing an unsupported network; due to incompatibility between network and address, the funds are technically unrecoverable and never entered Lemon. No execution failure or unauthorized movement on Lemon's part is established. Applying the principle of good faith, which requires of the user a minimum duty of diligence, the matter should be ruled in favor of Lemon.</t>
  </si>
  <si>
    <t xml:space="preserve">Caso 110 / ID 1868619 (user) / 1868620 (Lemon); retiro 2025-06-20</t>
  </si>
  <si>
    <t xml:space="preserve">ARS transfer to wrong alias — user-admitted error, irreversible</t>
  </si>
  <si>
    <t xml:space="preserve">User transferred 10,000 ARS to the wrong alias by mistake and asks Lemon to recover the funds for essential expenses.</t>
  </si>
  <si>
    <t xml:space="preserve">The transfer was instructed and confirmed by the user, processed through COELSA and irreversible; the user admits his own error and there was no technical fault.</t>
  </si>
  <si>
    <t xml:space="preserve">Proteccion; Buena Fe; Transparencia; Informacion</t>
  </si>
  <si>
    <t xml:space="preserve">User must show a Lemon violation or unauthorised execution; default is Lemon's executed instruction stands.</t>
  </si>
  <si>
    <t xml:space="preserve">Primary — Lemon "Actividad" screenshot of completed 10,000 ARS retiro to a named CBU; the app's pre-send confirmation screen; user's own admission of error. Not rebutted.</t>
  </si>
  <si>
    <t xml:space="preserve">Verified user page_0002 — 10,000.00 ARS "Retiro de ARS", "Completo", Destinatario "Ana Maria Beltran Aspi", COELSA ID present; matches user's admitted wrong-alias error; .md matches image.</t>
  </si>
  <si>
    <t xml:space="preserve">The user expressly admits the error was his own (wrong alias), so there is no Lemon-side failure or unauthorised execution. Lemon's app requires explicit confirmation of alias/CBU/monto before sending (deber de informacion satisfied) and the transfer settled irrevocably through the COELSA interbank system. Lemon has no power to reverse a completed COELSA transfer or compel the recipient to return funds. The pro-consumer bias check finds no breached Lemon duty.</t>
  </si>
  <si>
    <t xml:space="preserve">The user expressly acknowledges in his statement that he transferred 10,000 ARS by mistake "to a wrong alias". The Actividad screenshot he himself provides, verified against the page image, confirms a withdrawal of 10,000.00 ARS completed to "Ana Maria Beltran Aspi" with a COELSA ID, that is, an order instructed and confirmed by the user himself. There is no technical failure or unauthorized operation attributable to Lemon.
In accordance with the principle of good faith and the duty of information, the app requires express confirmation of the alias, CBU/CVU and amount before executing, giving the user the opportunity to verify the data. Once processed by the Argentine interbank system (COELSA), the transfer is final and irreversible, and Lemon has no involvement with the funds nor any power to reverse it. The situation, although understandable and sensitive for the user, derives from his own authorized act; no breach of any policy principle is established, so the matter should be ruled in favor of Lemon.</t>
  </si>
  <si>
    <t xml:space="preserve">Caso 111 / ID 4161346; transferencia 2025-07-03</t>
  </si>
  <si>
    <t xml:space="preserve">USDC wallet-to-wallet transfer to alleged unknown recipient — user-made, irreversible</t>
  </si>
  <si>
    <t xml:space="preserve">User says he transferred 1.39 USDC by mistake to an unknown person and asks Lemon to track the recipient and reverse it.</t>
  </si>
  <si>
    <t xml:space="preserve">The user himself states he made the transfer voluntarily with an error; wallet-to-wallet transfers are irreversible per T&amp;C 3.3 and Lemon cannot recover funds no longer in its custody.</t>
  </si>
  <si>
    <t xml:space="preserve">Proteccion; Buena Fe; Transparencia</t>
  </si>
  <si>
    <t xml:space="preserve">Primary — user's app screenshot of a completed 1.39 USDC transfer to a named lemontag; Lemon's WALLET_TO_WALLET admin record; user's own statement. Not rebutted.</t>
  </si>
  <si>
    <t xml:space="preserve">Verified user page_0002 (1.39 USDC "Transferencia de USDC", "Completa", named recipient) and Lemon page_0001 (WALLET_TO_WALLET -1.39 USDC). Lemon's header typo "CASO: 101" is clerical; body cites the correct 1.39 USDC / 03-07-2025 transaction. No decisive token affected.</t>
  </si>
  <si>
    <t xml:space="preserve">The user concedes he executed the transfer himself; the claim of an "unknown recipient" reflects a self-inflicted error, not an unauthorised Lemon action. T&amp;C 3.3 (irreversibility of executed instructions) does not contradict the policy principles. The amount is trivial (1.39 USDC) and the transfer is on-chain and final. The pro-consumer angle finds no Lemon Informacion/Proteccion breach — the app provides recipient identification and a confirmation step before sending.</t>
  </si>
  <si>
    <t xml:space="preserve">According to the screenshot provided by the user, verified against the page image, the operation is a "Transferencia de USDC" of 1.39 USDC completed on 03/07/2025 to a named recipient. The user himself states that he made the transfer and that he had an involuntary error, which rules out an unauthorized execution or a failure by Lemon. (The header of Lemon's statement mistakenly says "CASO: 101", but the body correctly refers to the 1.39 USDC transaction of 03/07/2025; it is a non-decisive clerical error.)
Clause 3.3 of the T&amp;C establishes the irreversibility of instructions already executed, which does not contradict the policy principles. Once sent, the funds left Lemon's custody to the recipient's wallet and Lemon has no means to reverse the operation. The app identifies the recipient and requests confirmation before completing the transaction, satisfying the duty of information. No violation of any principle is established; the matter should be ruled in favor of Lemon.</t>
  </si>
  <si>
    <t xml:space="preserve">Caso 112 / ID 3786591; card payment 2025-07-12</t>
  </si>
  <si>
    <t xml:space="preserve">Disputed card charge — Roblox.com purchase alleged unauthorised</t>
  </si>
  <si>
    <t xml:space="preserve">User says a transfer he never made or authorised appears on his account and asks for a refund.</t>
  </si>
  <si>
    <t xml:space="preserve">The charge is a card purchase at Roblox executed from an authenticated environment with valid credentials, with prior charges to the same merchant indicating a pre-authorised recurring subscription; no unauthorised access detected.</t>
  </si>
  <si>
    <t xml:space="preserve">User must show the charge was unauthorised / a Lemon-side failure; default is the executed card payment stands.</t>
  </si>
  <si>
    <t xml:space="preserve">Primary — user's own screenshot showing "Compra con tarjeta" S/18.26 at ROBLOX.COM on VISA Fisica *7744, "Pago realizado con exito". Secondary — Lemon admin LEMON_CARD_PAYMENT panels. Not rebutted.</t>
  </si>
  <si>
    <t xml:space="preserve">Verified user page_0002 (zoom) — "Compra con tarjeta", S/18.26, ROBLOX.COM 18888582569, 12 Jul 2025 10:35, VISA Fisica *7744, "Completo". Lemon admin panels confirm LEMON_CARD_PAYMENT / PEN with "Pago manual: false"; merchant-name field cells too low-res to read, but not decisive given the user's own Roblox evidence.</t>
  </si>
  <si>
    <t xml:space="preserve">The user characterises the item as a "transferencia no autorizada", but his own evidence shows it is a card purchase at a named consumer merchant (Roblox) on his own physical VISA card. A card payment to a named merchant is not a Lemon-side unauthorised transfer; Lemon's records show authentication with valid credentials and no security incident. Any dispute over the Roblox charge or a subscription must be raised with the merchant. The user offers no evidence of credential compromise or Lemon failure, so the Proteccion/Transparencia claim against Lemon is not made out.</t>
  </si>
  <si>
    <t xml:space="preserve">The evidence provided by the user himself, verified by zooming on the page image, shows a "Compra con tarjeta" of S/ 18.26 at ROBLOX.COM made on 12/07/2025 with the VISA Física *7744 card, with status "Completo - Pago realizado con éxito". This is not a third-party transfer, but a card purchase at an identified merchant (Roblox), executed with the user's own card.
Lemon establishes that the operation was carried out from an authenticated environment, with valid credentials and without unauthorized access or identity impersonation, and indicates prior records with the same merchant compatible with a recurring subscription. Although the merchant-name cells in the internal panels are not legible, this is not decisive because the user's own evidence identifies Roblox. No security failure or unauthorized operation attributable to Lemon is established; any claim regarding the charge or the cancellation of the subscription must be channeled with the merchant. No violation of the policy principles is verified, so the matter should be ruled in favor of Lemon.</t>
  </si>
  <si>
    <t xml:space="preserve">Caso 113 / ID 4289276 (Aldana V. Cozzolino, lemontag apunte.de.viajes); deposit 2025-07-14</t>
  </si>
  <si>
    <t xml:space="preserve">Crypto deposit lost — sent to a legacy/third-party (Binance) Stellar address, not the Lemon-assigned one</t>
  </si>
  <si>
    <t xml:space="preserve">User says the app gave her a Stellar address+memo at registration, she sent 50 USDC, and after a biometric re-login the deposit data had changed; she blames Lemon for an outdated/invalid address.</t>
  </si>
  <si>
    <t xml:space="preserve">The destination was a legacy Binance-provider address discontinued Feb-2024, never assigned to her account; Lemon assigned her a different valid Stellar address (GB5R3CLO...REDDMN, memo 3565203899) at registration; addresses are static and unaffected by biometric logout.</t>
  </si>
  <si>
    <t xml:space="preserve">User must show Lemon supplied/displayed the wrong address (a Lemon Informacion failure); default is Lemon's action stands.</t>
  </si>
  <si>
    <t xml:space="preserve">Primary — user's own MAS DETALLES screen and Stellar explorer; Lemon's back-office cryptovaultaddresses row. Conflicting narratives; user's "address changed" story is unrebutted assertion but unsupported.</t>
  </si>
  <si>
    <t xml:space="preserve">Verified user page_0005 (destination GABFQIK63...JNL6, memo 3994460708) and page_0006 explorer ("sent 50.01 USDC.centre.io to [Binance Deposits] GABF...JNL6", Memo 3994460708); Lemon page_0001 back-office row (assigned address GB5R3CLOMWDVKPGTKUZQPHDKNKIW3I64L2CBL7DZA4EKCKS3BYREDDMN, address_tag 3565203899, STELLAR/USDC, created 14/7/2025). Addresses AND memos differ; .md matches images.</t>
  </si>
  <si>
    <t xml:space="preserve">The user's own blockchain evidence labels the destination as a "[Binance Deposits]" address (GABF...) with memo 3994460708 — neither matches the Lemon-assigned address (GB5R3CLO...) or memo (3565203899) shown generated at her registration. That on-chain mismatch resolves the factual dispute against the user: she did not send to the address Lemon assigned her. Her "the app changed the address after biometric login" narrative is unsupported and contradicted by the static-address record and the memo mismatch. In dubio pro consumidor requires genuine ambiguity; here the primary evidence is one-sided, so no Informacion/Transparencia breach by Lemon is shown.</t>
  </si>
  <si>
    <t xml:space="preserve">The user's own primary evidence is decisive. Her "MÁS DETALLES" screen indicates as destination address GABFQIK63R2NETJM7T673EAMZN4RJLLGP3OFUEJU5SZVTGWUKULZJNL6 with memo 3994460708, and her Stellar explorer screenshot describes the send "to [Binance Deposits] GABF...JNL6", Memo 3994460708. Lemon's back-office record, verified against the image, shows that the Stellar address assigned to her account was GB5R3CLOMWDVKPGTKUZQPHDKNKIW3I64L2CBL7DZA4EKCKS3BYREDDMN with address_tag 3565203899, generated on 14/7/2025, the day of her registration. The address and memo used are different from those assigned by Lemon.
The user's assertion that "the app gave her that address and it changed after the biometric validation" is not supported by any evidence and is contradicted by her own receipt: the memo she used does not match the assigned one, and her explorer identifies the destination as a "Binance Deposits" address foreign to Lemon. The principle of in dubio pro consumidor requires a genuine doubt, which does not exist here because the on-chain evidence is conclusive. No failure of Información or Transparencia attributable to Lemon is established, since it assigned and kept visible the correct address; the loss derives from the send to a third-party address not controlled by Lemon. The matter should be ruled in favor of Lemon.</t>
  </si>
  <si>
    <t xml:space="preserve">Caso 114 / ID 3515724 (Paolo Cesar Sergo Mamani); retiro 2025-09-07</t>
  </si>
  <si>
    <t xml:space="preserve">Crypto withdrawal "not arrived" — on-chain confirmed to the user's stated address (Polygon, USDT0)</t>
  </si>
  <si>
    <t xml:space="preserve">User says a 134 USDT withdrawal on 07-09 shows as completed by Lemon but never arrived at his destination wallet 0xfaf72289...796430a4.</t>
  </si>
  <si>
    <t xml:space="preserve">The withdrawal was validly executed and confirmed on Polygon (hash 0x9b4513...), sending the funds to the exact address the user provided; non-visibility at destination is external to Lemon and irreversible.</t>
  </si>
  <si>
    <t xml:space="preserve">Proteccion; Transparencia; Buena Fe; Informacion</t>
  </si>
  <si>
    <t xml:space="preserve">User must show funds went somewhere other than his stated address or a Lemon-side failure; default is the confirmed on-chain transfer stands.</t>
  </si>
  <si>
    <t xml:space="preserve">Primary — user's Lemon retiro screenshot and Lemon's Polygonscan capture of the same hash/address; support thread. Not rebutted — user concedes the system shows it completed to that address.</t>
  </si>
  <si>
    <t xml:space="preserve">Verified Lemon page_0002 Polygonscan capture — search highlights 8ef0a45fd58462c5f796430a4 and transfer row "To 0xfAf72289...f796430A4 For 133 $133.13 USDT0 (USDT0)"; matches the user's stated address 0xfaf72289bd563ed8ef0a45fd58462c5f796430a4 and his own screenshot (Polygon, 133 net, hash 0x9b4513...). .md matches images.</t>
  </si>
  <si>
    <t xml:space="preserve">The decisive token — the destination address — matches exactly between the user's claim, his own app screenshot, and the public Polygonscan record; Lemon transmitted 133 net USDT0 to the precise address the user supplied. The blockchain is immutable public proof of correct execution, satisfying Transparencia (Lemon provided the verifiable hash) and Proteccion (the instruction was executed faithfully). The funds being unseen at destination is consistent with a USDT0-vs-USDT token-contract display issue or destination-wallet configuration, all external to Lemon. No diversion, error, or unauthorised act by Lemon.</t>
  </si>
  <si>
    <t xml:space="preserve">The decisive element is the destination address, and it matches in all three sources: the user's claim, his own app screenshot (Polygon, 133 net USDT, hash 0x9b4513...) and the Polygonscan screenshot provided by Lemon, verified against the image, which shows "To 0xfAf72289...f796430A4 For 133 $133.13 USDT0". That is, Lemon transmitted the funds exactly to the address 0xfaf72289bd563ed8ef0a45fd58462c5f796430a4 indicated by the user himself, and the operation is confirmed and immutable on the network.
In accordance with the principles of Transparencia and Protección, Lemon faithfully executed the instruction and provided objective, public and independent proof (transaction hash) of its correct fulfillment. The non-display of the balance in the destination wallet is consistent with a token contract/display matter (USDT0 versus USDT) or with the configuration of the receiving wallet, factors external to and unrelated to Lemon. No diversion, error or unauthorized operation attributable to Lemon is established, and Lemon furthermore has no power to reverse a transaction confirmed on the blockchain. The matter should be ruled in favor of Lemon.</t>
  </si>
  <si>
    <t xml:space="preserve">lemontag juangabrielgodoy7 / ID 3903894 — disputed Spotify charge 25/9/2025</t>
  </si>
  <si>
    <t xml:space="preserve">Unauthorized/automatic debit (recurring subscription)</t>
  </si>
  <si>
    <t xml:space="preserve">User claims an automatic debit (Trx fabaaa37-1520-448e-b8f1-fb00eb30e00b) was executed without authorisation and demands reversal, also noting a never-received physical card.</t>
  </si>
  <si>
    <t xml:space="preserve">The charge is the automatic renewal of a pre-existing Spotify subscription, executed from an authenticated environment with a valid virtual card; cancellation must be handled with Spotify.</t>
  </si>
  <si>
    <t xml:space="preserve">Protección; Información; Transparencia; Buena Fe; In dubio pro consumidor</t>
  </si>
  <si>
    <t xml:space="preserve">User must show the debit was unauthorised / a Lemon-side failure; default is Lemon's action stands.</t>
  </si>
  <si>
    <t xml:space="preserve">Primary — Lemon backoffice panels and activity table showing three Spotify charges (679.50 / 3,998.40 / 5,278.40) over Jul/Aug/Sep 2025; user's bare assertion not otherwise substantiated; not rebutted.</t>
  </si>
  <si>
    <t xml:space="preserve">1 decisive image set verified (Lemon page 2). User's cited Trx ID fabaaa37-1520-448e-b8f1-fb00eb30e00b matches the −5,278.40 ARS Spotify panel exactly (the .md had OCR'd it as "fa9aaa37-1320-449a..." — image governs). Devoluciones table appears ONLY on the −679.50 panel (Devuelto/679.5/provider_request/2025-07-25); the disputed −5,278.40 panel has NO refund. Three Spotify charges confirmed (25/7, 25/8, 25/9).</t>
  </si>
  <si>
    <t xml:space="preserve">The image evidence rebuts the "unauthorised" framing: three sequential charges to the same merchant (Spotify) from an authenticated session establish a recurring subscription the user previously activated, not an isolated improper debit (Información/Buena Fe satisfied). Lemon correctly explains it cannot cancel a third-party subscription on the user's behalf. The unrelated "never received physical card" complaint bears on a virtual-card Spotify charge not at all and is unsupported. No genuine ambiguity to trigger in dubio pro consumidor.</t>
  </si>
  <si>
    <t xml:space="preserve">The activity record (Lemon descargo, page 2) shows three charges to Spotify on 25 July (ARS 679.50), 25 August (ARS 3,998.40) and 25 September (ARS 5,278.40), all "Completada" from an authenticated environment with the user's virtual Lemon Card 9849. That repeating monthly pattern to a single merchant is the signature of a recurring subscription the user previously authorised, not an isolated unauthorised movement. The user offers no evidence of compromise, unauthorised access or instruction he did not give — only an assertion — so the Información and Buena Fe principles are met by Lemon's traceable record.
I verified the decisive token against the page image: the transaction the user himself identifies, fabaaa37-1520-448e-b8f1-fb00eb30e00b, is precisely the −5,278.40 ARS Spotify charge, and that panel carries no "Devoluciones" entry; only the earlier −679.50 charge was refunded by provider request. Lemon's explanation that subscription cancellations must be managed directly with the merchant is consistent with the Transparencia principle, as Lemon has no contractual reach over Spotify's terms.
The collateral complaint about a physical card that never arrived is immaterial to a virtual-card subscription charge and is unsubstantiated by any correspondence. Applying the calibration in case 148 (clear, accurate facts; the consumer simply seeks more than the record supports) and finding no buried term or misleading communication, the claim fails. Vote: Rule for Lemon.</t>
  </si>
  <si>
    <t xml:space="preserve">lemontag/ID 3362660 — PEN 50.00 transfer, 18/08/2025</t>
  </si>
  <si>
    <t xml:space="preserve">Disputed transfer status (alleged later "not processed")</t>
  </si>
  <si>
    <t xml:space="preserve">User says a PEN 50.00 payment showed as sent, but ~2 months later Lemon told him it "no se realizó," leaving the recipient demanding the money.</t>
  </si>
  <si>
    <t xml:space="preserve">The transfer was validly executed to the recipient/CCI the user specified and is irreversible; user should pursue the receiving platform with the CEE/operation ID.</t>
  </si>
  <si>
    <t xml:space="preserve">User must show a Lemon-side failure (an actual non-execution / unreturned debit); default is Lemon's valid transfer stands.</t>
  </si>
  <si>
    <t xml:space="preserve">Primary — user's own success voucher (green check, PEN 50.00) AND Lemon's backoffice panel both marked "Completada" with matching Trx ID, CCI, recipient and operation number; alleged "no se realizó" notice not submitted by either party; not rebutted.</t>
  </si>
  <si>
    <t xml:space="preserve">2 decisive images verified. User voucher (user page 2): "✓ PEN 50.00 … ID 915bd881-08c3-43e0-afd3-c1d1dd3c9e43 … CCI 002-191-191084366008-54 … Yesica Rosmery Huarcaya De La Cruz". Lemon panel (Lemon page 1, cropped): PERUVIAN_FIAT_CASH_OUT status "Completada", same Trx ID 915bd881..., −50.00 PEN, CCI 00219119108436600854, Nombre destino YESICA ROSMERY HUARCAYA DE LA CRUZ, External ID 20250818204222092241S2768049 — all matching the voucher.</t>
  </si>
  <si>
    <t xml:space="preserve">Both parties' own records agree the operation completed successfully to the exact recipient the user intended; nothing in the file evidences an actual reversal, non-execution or unreturned debit. The alleged "no se realizó" message is not produced, so the asserted Lemon failure is unproven (burden unmet). Where Información/Transparencia are tested, Lemon's transparent, matching record satisfies them; there is no genuine ambiguity for in dubio pro consumidor to resolve. Any quarrel with the recipient is a third-party matter outside Lemon's executed, irreversible transfer.</t>
  </si>
  <si>
    <t xml:space="preserve">This is the closest of the batch because the user frames a contradiction — a payment shown as sent, then allegedly reported "not processed." But a juror decides on the record, and the record is unambiguous: the user's own constancia bears a green check for PEN 50.00, and Lemon's backoffice panel for the identical transaction (Trx ID 915bd881-08c3-43e0-afd3-c1d1dd3c9e43, verified character-by-character against the image) shows status "Completada" to the same recipient, CCI and operation number the voucher records. The two independent sources corroborate a completed, valid transfer.
The pivotal "no se realizó" notification the user relies on is not submitted by either party. Saying a status later flipped, without producing it, does not discharge the burden of proving a Lemon-side failure; the unrebutted primary evidence is presumed genuine and shows the funds were debited and sent to the destination the user specified. There is therefore no failure of Protección or Transparencia by Lemon, and no genuine ambiguity to trigger in dubio pro consumidor.
Because the transfer reached the very counterparty the user intended to pay (Yesica Rosmery Huarcaya De La Cruz), any dispute that this recipient now raises is between the user and that recipient or the receiving institution, to be pursued with the CEE/operation ID 20250818204222092241S2768049 — it is not a Lemon execution error. Confidence is Medium only because of the unproduced notice; on the evidence actually before the panel, the claim fails. Vote: Rule for Lemon.</t>
  </si>
  <si>
    <t xml:space="preserve">lemontag lalombramaa / ID 3245679 — card payment to MERPAGO*TOMASSO, 29/10/2025</t>
  </si>
  <si>
    <t xml:space="preserve">Card payment debited but allegedly not credited/returned</t>
  </si>
  <si>
    <t xml:space="preserve">User says a physical-card payment of ARS 9,291 was debited but never credited to the merchant nor returned to her balance.</t>
  </si>
  <si>
    <t xml:space="preserve">The payment was rejected/cancelled by the merchant and Lemon auto-refunded the full amount the same business day (15:24:58, 29/10/2025); no retention or loss.</t>
  </si>
  <si>
    <t xml:space="preserve">User must show an unreturned debit / retained funds; default is Lemon's action stands.</t>
  </si>
  <si>
    <t xml:space="preserve">Primary — Lemon backoffice panel "Devuelto" ARS 9,291; and the USER'S OWN screenshot stating "❌ Cancelado — Hubo un error con el pago. Los fondos están disponibles en tu billetera"; mutually corroborating; not rebutted.</t>
  </si>
  <si>
    <t xml:space="preserve">Lemon page 1 image confirms Estado "Devuelto", −9291 ARS, MERPAGO*TOMASSO, PHYSICAL, user Agustina Belén Lalomara ID 3245679 — corroborating the user's own "Cancelado / funds available" screenshot. No further decisive token in dispute.</t>
  </si>
  <si>
    <t xml:space="preserve">The user's own evidence defeats her claim: her screenshot states the funds are available in her wallet, and Lemon's panel records the full refund the same day (Información and Transparencia satisfied — the status was visible in-app). There was no effective debit and no residual loss. No principle is violated and nothing remains to compensate.</t>
  </si>
  <si>
    <t xml:space="preserve">The user's claim is that ARS 9,291 was debited and never returned, but the screenshot she herself submits shows the payment to MERPAGO*TOMASSO marked "❌ Cancelado" with the express message "Hubo un error con el pago. Los fondos están disponibles en tu billetera." That is the platform telling her, in-app and at the time, that the funds were back in her wallet — which directly satisfies the Información and Transparencia principles she invokes.
Lemon's backoffice evidence aligns with the user's screenshot: the operation is "Devuelto" for the full ARS 9,291, with the merchant rejection ("cancellation") and a same-business-day reversal at 15:24:58 on 29/10/2025. The two records corroborate rather than conflict, and the evidence is unrebutted and presumed genuine.
With no effective debit and the money already restored, there is no patrimonial harm and nothing to compensate. Lemon acted with diligence and immediate recomposition consistent with the Protección and Buena Fe principles. The claim fails. Vote: Rule for Lemon.</t>
  </si>
  <si>
    <t xml:space="preserve">ID 4392185 — 28.37 USDT withdrawal on wrong network, 22/10/2025</t>
  </si>
  <si>
    <t xml:space="preserve">Wrong-network crypto withdrawal (user error)</t>
  </si>
  <si>
    <t xml:space="preserve">User admits selecting the BNB (BEP20) network instead of Ethereum by mistake and argues double-confirmation should be default-on; asks for full or partial reimbursement.</t>
  </si>
  <si>
    <t xml:space="preserve">The withdrawal executed correctly on BEP20 per the user's manual selection; network is displayed before confirmation; T&amp;C clause 6 disclaims wrong-network sends and clause 3.3 makes confirmed transfers irreversible.</t>
  </si>
  <si>
    <t xml:space="preserve">User must show a Lemon-side failure / inadequate warning; default is Lemon's executed on-chain transfer stands.</t>
  </si>
  <si>
    <t xml:space="preserve">Primary — on-chain hash 0x6ef7a4b8f3bb4771...; user's OWN voucher displaying "Red: Bnb Chain (BEP20)"; user's express admission of error; T&amp;C cl.6 / cl.3.3; not rebutted.</t>
  </si>
  <si>
    <t xml:space="preserve">User page 2 image confirms the voucher shows "Red: Bnb Chain (BEP20)" prominently, status "Completo — Tu envío ya fue realizado", 28,37 USDT, hash 0x6ef7a4b8f3bb4771...ff880ca2248d4a4edb — i.e. the network was disclosed to the user before/at the operation.</t>
  </si>
  <si>
    <t xml:space="preserve">The user concedes the network-selection error, and his own screenshot shows the network was clearly displayed, so the Información/Transparencia duties were met — the loss stems from the user's authorised manual selection, not a hidden term or Lemon failure. On-chain confirmation is irreversible and the funds are outside Lemon's control (no Lemon-side fault to engage Protección). The "double-confirmation should be default-on" argument is a wish-list preference, not a policy breach, since explicit network confirmation already exists; T&amp;C clause 6 here reinforces, not contradicts, the principles. No genuine ambiguity for in dubio pro consumidor.</t>
  </si>
  <si>
    <t xml:space="preserve">The user expressly recognises that he selected the Bnb Chain (BEP20) network by mistake when the destination expected Ethereum. His own constancia, verified against the page image, displays "Red: Bnb Chain (BEP20)" in plain text alongside a completed status — so the very information whose absence he complains about was in fact shown to him before confirming. The Información and Transparencia principles are satisfied.
The transaction settled on-chain (hash 0x6ef7a4b8f3bb4771...ff880ca2248d4a4edb), and by the nature of blockchain — reflected in T&amp;C clauses 3.3 and 6, which align with rather than contradict the court's principles — it is irreversible and the funds are no longer within Lemon's custody. The loss therefore arises from the user's own authorised selection, not from any omission, misleading communication or system failure by Lemon, so Protección does not shift the loss to the provider.
The user's proposal that double network-confirmation be enabled by default is a preference about product design, not a breach of any principle; the platform already requires explicit confirmation of the selected network. With clear disclosure, an admitted user error and no genuine ambiguity, the claim fails under the calibration exemplified by case 148. Vote: Rule for Lemon.</t>
  </si>
  <si>
    <t xml:space="preserve">ID 4008511 — PEN 65.67 sent to wrong Yape number, 05/11/2025</t>
  </si>
  <si>
    <t xml:space="preserve">Transfer to wrong third-party (user typing error)</t>
  </si>
  <si>
    <t xml:space="preserve">User admits mistyping a Yape phone number very similar to her own and asks Lemon to reverse the PEN 65.67 transfer or contact the wrong recipient.</t>
  </si>
  <si>
    <t xml:space="preserve">The transfer went to the exact data the user entered and confirmed, is irreversible and real-time; Lemon cannot intervene in a third-party (Yape) account; data accuracy is the user's responsibility per T&amp;C.</t>
  </si>
  <si>
    <t xml:space="preserve">User must show a Lemon-side failure; default is Lemon's executed irreversible transfer stands.</t>
  </si>
  <si>
    <t xml:space="preserve">Primary — user's OWN voucher and Lemon's panel both showing the completed PEN 65.67 transfer to +51952887724 / RUTH ESTEFANY AVALOS MAMANI / CCI 002-405-107652494079-97; user's admission of error; not rebutted.</t>
  </si>
  <si>
    <t xml:space="preserve">No decisive token required image verification — the user concedes the typing error and her voucher and Lemon's panel agree on recipient, amount (PEN 65.67) and Trx ID b29cad9c-3a3b-4e1f-a8cf-ae26cf0117d6; outcome is lopsided regardless of digit-level checking.</t>
  </si>
  <si>
    <t xml:space="preserve">The loss flows directly from the user's own confirmed instruction to a third party, not from any Lemon failure; the system displayed the number and required explicit confirmation (Información/Transparencia met). The transfer is irreversible and the destination is a third party on another platform (Yape) outside Lemon's control, so Lemon cannot lawfully claw it back. Lemon even concedes the user's good faith, but good faith does not convert an irreversible user-directed transfer into a Lemon liability.</t>
  </si>
  <si>
    <t xml:space="preserve">The user candidly explains that she typed a Yape number resembling her own and did not notice the last two differing digits before confirming. Her own constancia and Lemon's backoffice record agree that PEN 65.67 was sent to the number and recipient she entered (RUTH ESTEFANY AVALOS MAMANI, +51952887724), under transaction b29cad9c-3a3b-4e1f-a8cf-ae26cf0117d6. The platform displayed the destination data and required a final explicit confirmation, satisfying the Información and Transparencia principles.
The funds reached a third party on a separate platform (Yape) and the operation is irreversible in real time; Lemon has neither custody of the money nor authority to intervene in another institution's account. The loss is the consequence of the user's own authorised instruction, not of any omission, deception or malfunction by Lemon, so the Protección principle does not transfer it to the provider.
Lemon expressly does not impugn the user's good faith, and neither do I — but a sincere mistake in data entry, confirmed by the user, does not establish a policy violation by Lemon. The appropriate recourse is the user's direct contact with the unintended recipient. The claim fails. Vote: Rule for Lemon.</t>
  </si>
  <si>
    <t xml:space="preserve">ID 347927 — alleged disappearance of ~ARS 45,000 in crypto, Dec 2025</t>
  </si>
  <si>
    <t xml:space="preserve">Backup-currency (ETH) auto-debit for card payment</t>
  </si>
  <si>
    <t xml:space="preserve">User says ~ARS 45,000 of purchased crypto disappeared with no sale, transfer or notification, while a later ARS 7,000 purchase still shows.</t>
  </si>
  <si>
    <t xml:space="preserve">No loss occurred; the ETH was debited as the user's configured "moneda de respaldo" to cover a Claro bill (ARS 35,000) that exceeded his ARS balance (ARS 34,117.31), per the backup-currency mechanic the user himself enabled.</t>
  </si>
  <si>
    <t xml:space="preserve">User must show funds vanished without authorisation; default is Lemon's traced operations stand.</t>
  </si>
  <si>
    <t xml:space="preserve">Primary — Lemon RESÚMENES tables tracing purchases, deposits and the backup-currency debit; account-config screenshot "Principal: ARS / Respaldo: ETH"; app help text on backup currency; user's screenshot consistent with the same ledger; not rebutted.</t>
  </si>
  <si>
    <t xml:space="preserve">No single decisive token in dispute that turns the case; the .md tables and config screenshot are internally consistent and the user's own movements screenshot mirrors Lemon's ledger (same deposits/purchases on 11-12 Dec). The mechanism, not a digit, is decisive; lopsided once the configuration is accepted.</t>
  </si>
  <si>
    <t xml:space="preserve">The "disappearance" is explained by a documented, user-configured feature: when ARS was insufficient to pay the Claro bill, the configured ETH backup currency was debited to complete the user's own payment instruction (Información/Transparencia met — the function is explained in-app via the "?" help, which does not contradict the principles). There was thus no unauthorised removal of assets, only execution of the user's own consumption. The user provides no evidence of an unauthorised sale or transfer; his bare assertion does not rebut the traced ledger. No genuine ambiguity remains for in dubio pro consumidor.</t>
  </si>
  <si>
    <t xml:space="preserve">The record traces the supposedly vanished assets to an ordinary, user-initiated event. The account was configured by the user with ARS as principal and ETH as backup currency, as shown in Lemon's database screenshot ("Principal: ARS / Respaldo: ETH"). When the user paid a Facturas Claro bill that exceeded his available ARS balance, the system debited the configured ETH backup to complete that payment — exactly what the in-app help text describes ("se usará automáticamente la de respaldo para pagar el total de tu compra"). This satisfies the Información and Transparencia principles rather than violating them.
The user's own movements screenshot mirrors Lemon's ledger for 11-12 December (the same deposits and crypto purchases), and Lemon's resúmenes show the balance flow consistent with the backup-currency debit. The user asserts an unauthorised disappearance but supplies no evidence of any sale, transfer or third-party access; an unsupported assertion does not rebut a coherent, traceable transaction record, which is presumed genuine.
Because the ETH was applied to discharge the user's own obligation under a feature he voluntarily enabled, there was no loss of assets and no breach of Protección or Buena Fe — the autonomy-of-configuration point Lemon raises is sound. With no genuine ambiguity, in dubio pro consumidor does not apply. The claim fails. Vote: Rule for Lemon.</t>
  </si>
  <si>
    <t xml:space="preserve">lemontag gonzalovillalva01 / ID 1091267 — ARS 110,000 transfer in error, 09/04/2026</t>
  </si>
  <si>
    <t xml:space="preserve">Transfer to wrong third-party (admitted user error)</t>
  </si>
  <si>
    <t xml:space="preserve">User states he transferred ARS 110,000 to the wrong person by mistake, got no support response, and wants the money returned.</t>
  </si>
  <si>
    <t xml:space="preserve">The transfer was executed to the data the user entered via an irrevocable mandate, is irreversible, and the funds are no longer in Lemon's control; data accuracy is the user's exclusive responsibility per Digifin T&amp;C (cl. 3.b/3.c/3.e, 4.c).</t>
  </si>
  <si>
    <t xml:space="preserve">Primary — Lemon panel showing completed VIRTUAL_WITHDRAWAL of ARS 110,000 to Renato Sebastian Fernandez (CBU 0000003100076464379022); user's OWN voucher matching it; user's explicit admission "realicé una transferencia por error a una persona incorrecta"; not rebutted.</t>
  </si>
  <si>
    <t xml:space="preserve">Lemon page 2 image confirms VIRTUAL_WITHDRAWAL "Completada", Trx ID ff89ab98-f6cf-4f89-948f-a29b717c8463, −110000 ARS, user Gonzalo Gabriel Villalva ID 1091267, destino Renato Sebastian Fernandez, CBU 0000003100076464379022, 9/4/2026 22:27:28 — matching the user's own voucher (page 2 of user descargo).</t>
  </si>
  <si>
    <t xml:space="preserve">The user expressly admits the erroneous transfer, and both records confirm a completed ARS 110,000 withdrawal to the third party the user instructed; this is the user's own authorised act, not a Lemon failure. The operation is irreversible and the funds sit with a third party/bank outside Lemon's reach (Protección does not shift the loss to Lemon). The cited Digifin T&amp;C placing data-accuracy on the user are consistent with, not contradictory to, the principles, so they are not overridden. Slow support is regrettable but does not create a duty to reverse an irreversible third-party transfer.</t>
  </si>
  <si>
    <t xml:space="preserve">The user admits in his descargo that he "realicé una transferencia por error a una persona incorrecta." Lemon's backoffice panel, verified against the page image, shows a completed VIRTUAL_WITHDRAWAL of ARS 110,000 (Trx ff89ab98-f6cf-4f89-948f-a29b717c8463) to Renato Sebastian Fernandez at CBU 0000003100076464379022, and the user's own constancia matches it in amount, recipient, CBU and COELSA ID. The transfer thus executed exactly per the user's confirmed instruction.
By the irrevocable-mandate and data-responsibility terms (Digifin clauses 3.b, 3.c, 3.e and 4.c), which align with the court's principles rather than burying a material protection, the accuracy of the destination is the user's responsibility and a confirmed transfer cannot be reversed. The funds have left Lemon's ecosystem to a third party's bank, so Lemon has neither custody nor authority to recover them; the Protección principle does not convert the user's own error into a Lemon liability.
The user's complaint that support did not respond is understandable but immaterial to the outcome, because no support action could undo an already-settled, irreversible transfer to a third party. There is no failure of Información or Transparencia by Lemon and no genuine ambiguity to resolve for the consumer. The claim fails. Vote: Rule for Lemon.</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</si>
</sst>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b val="true"/>
      <sz val="11"/>
      <color rgb="FFFFFFFF"/>
      <name val="Arial"/>
      <family val="0"/>
      <charset val="1"/>
    </font>
    <font>
      <b val="true"/>
      <sz val="11"/>
      <name val="Arial"/>
      <family val="0"/>
      <charset val="1"/>
    </font>
    <font>
      <b val="true"/>
      <sz val="10"/>
      <color rgb="FF000000"/>
      <name val="Arial"/>
      <family val="0"/>
      <charset val="1"/>
    </font>
    <font>
      <sz val="9"/>
      <name val="Arial"/>
      <family val="0"/>
      <charset val="1"/>
    </font>
    <font>
      <i val="true"/>
      <sz val="9"/>
      <color rgb="FF333333"/>
      <name val="Arial"/>
      <family val="0"/>
      <charset val="1"/>
    </font>
    <font>
      <b val="true"/>
      <sz val="10"/>
      <color rgb="FFFFFFFF"/>
      <name val="Arial"/>
      <family val="0"/>
      <charset val="1"/>
    </font>
    <font>
      <b val="true"/>
      <sz val="9"/>
      <name val="Arial"/>
      <family val="0"/>
      <charset val="1"/>
    </font>
  </fonts>
  <fills count="9">
    <fill>
      <patternFill patternType="none"/>
    </fill>
    <fill>
      <patternFill patternType="gray125"/>
    </fill>
    <fill>
      <patternFill patternType="solid">
        <fgColor rgb="FF2E4A6B"/>
        <bgColor rgb="FF333333"/>
      </patternFill>
    </fill>
    <fill>
      <patternFill patternType="solid">
        <fgColor rgb="FF4472C4"/>
        <bgColor rgb="FF666699"/>
      </patternFill>
    </fill>
    <fill>
      <patternFill patternType="solid">
        <fgColor rgb="FFDCE6F1"/>
        <bgColor rgb="FFE2E2E2"/>
      </patternFill>
    </fill>
    <fill>
      <patternFill patternType="solid">
        <fgColor rgb="FFD7E9C9"/>
        <bgColor rgb="FFE2E2E2"/>
      </patternFill>
    </fill>
    <fill>
      <patternFill patternType="solid">
        <fgColor rgb="FFE2E2E2"/>
        <bgColor rgb="FFDCE6F1"/>
      </patternFill>
    </fill>
    <fill>
      <patternFill patternType="solid">
        <fgColor rgb="FFFFF8E1"/>
        <bgColor rgb="FFFFFFFF"/>
      </patternFill>
    </fill>
    <fill>
      <patternFill patternType="solid">
        <fgColor rgb="FFE8F5E9"/>
        <bgColor rgb="FFFFF8E1"/>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4472C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8E1"/>
      <rgbColor rgb="FFE8F5E9"/>
      <rgbColor rgb="FF660066"/>
      <rgbColor rgb="FFFF8080"/>
      <rgbColor rgb="FF0066CC"/>
      <rgbColor rgb="FFE2E2E2"/>
      <rgbColor rgb="FF000080"/>
      <rgbColor rgb="FFFF00FF"/>
      <rgbColor rgb="FFFFFF00"/>
      <rgbColor rgb="FF00FFFF"/>
      <rgbColor rgb="FF800080"/>
      <rgbColor rgb="FF800000"/>
      <rgbColor rgb="FF008080"/>
      <rgbColor rgb="FF0000FF"/>
      <rgbColor rgb="FF00CCFF"/>
      <rgbColor rgb="FFDCE6F1"/>
      <rgbColor rgb="FFD7E9C9"/>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4A6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70"/>
  </cols>
  <sheetData>
    <row r="1" customFormat="false" ht="25.5" hidden="false" customHeight="true" outlineLevel="0" collapsed="false">
      <c r="A1" s="1" t="s">
        <v>0</v>
      </c>
      <c r="B1" s="1"/>
      <c r="C1" s="1"/>
    </row>
    <row r="3" customFormat="false" ht="15" hidden="false" customHeight="false" outlineLevel="0" collapsed="false">
      <c r="A3" s="2" t="s">
        <v>1</v>
      </c>
      <c r="B3" s="3" t="s">
        <v>2</v>
      </c>
    </row>
    <row r="4" customFormat="false" ht="15" hidden="false" customHeight="false" outlineLevel="0" collapsed="false">
      <c r="A4" s="4" t="s">
        <v>3</v>
      </c>
      <c r="B4" s="0" t="n">
        <f aca="false">COUNTIF(Verdicts!$L$4:$L$102,"Rule for Lemon")</f>
        <v>94</v>
      </c>
    </row>
    <row r="5" customFormat="false" ht="15" hidden="false" customHeight="false" outlineLevel="0" collapsed="false">
      <c r="A5" s="5" t="s">
        <v>4</v>
      </c>
      <c r="B5" s="0" t="n">
        <f aca="false">COUNTIF(Verdicts!$L$4:$L$102,"Rule for the User")</f>
        <v>5</v>
      </c>
    </row>
    <row r="6" customFormat="false" ht="15" hidden="false" customHeight="false" outlineLevel="0" collapsed="false">
      <c r="A6" s="6" t="s">
        <v>5</v>
      </c>
      <c r="B6" s="0" t="n">
        <f aca="false">COUNTIF(Verdicts!$L$4:$L$102,"Refuse to Arbitrate")</f>
        <v>0</v>
      </c>
    </row>
    <row r="7" customFormat="false" ht="15" hidden="false" customHeight="false" outlineLevel="0" collapsed="false">
      <c r="A7" s="7" t="s">
        <v>6</v>
      </c>
      <c r="B7" s="7" t="n">
        <f aca="false">SUM(B4:B6)</f>
        <v>99</v>
      </c>
    </row>
    <row r="9" customFormat="false" ht="15" hidden="false" customHeight="false" outlineLevel="0" collapsed="false">
      <c r="A9" s="2" t="s">
        <v>7</v>
      </c>
      <c r="B9" s="3" t="s">
        <v>2</v>
      </c>
    </row>
    <row r="10" customFormat="false" ht="15" hidden="false" customHeight="false" outlineLevel="0" collapsed="false">
      <c r="A10" s="0" t="s">
        <v>8</v>
      </c>
      <c r="B10" s="0" t="n">
        <f aca="false">COUNTIF(Verdicts!$M$4:$M$102,"High")</f>
        <v>68</v>
      </c>
    </row>
    <row r="11" customFormat="false" ht="15" hidden="false" customHeight="false" outlineLevel="0" collapsed="false">
      <c r="A11" s="0" t="s">
        <v>9</v>
      </c>
      <c r="B11" s="0" t="n">
        <f aca="false">COUNTIF(Verdicts!$M$4:$M$102,"Medium")</f>
        <v>31</v>
      </c>
    </row>
    <row r="12" customFormat="false" ht="15" hidden="false" customHeight="false" outlineLevel="0" collapsed="false">
      <c r="A12" s="0" t="s">
        <v>10</v>
      </c>
      <c r="B12" s="0" t="n">
        <f aca="false">COUNTIF(Verdicts!$M$4:$M$102,"Low")</f>
        <v>0</v>
      </c>
    </row>
    <row r="14" customFormat="false" ht="15" hidden="false" customHeight="false" outlineLevel="0" collapsed="false">
      <c r="A14" s="2" t="s">
        <v>11</v>
      </c>
      <c r="B14" s="3" t="s">
        <v>2</v>
      </c>
    </row>
    <row r="15" customFormat="false" ht="15" hidden="false" customHeight="false" outlineLevel="0" collapsed="false">
      <c r="A15" s="0" t="s">
        <v>12</v>
      </c>
      <c r="B15" s="0" t="n">
        <f aca="false">COUNTIF(Verdicts!$D$4:$D$102,"Scam / third-party fraud")</f>
        <v>9</v>
      </c>
    </row>
    <row r="16" customFormat="false" ht="15" hidden="false" customHeight="false" outlineLevel="0" collapsed="false">
      <c r="A16" s="0" t="s">
        <v>13</v>
      </c>
      <c r="B16" s="0" t="n">
        <f aca="false">COUNTIF(Verdicts!$D$4:$D$102,"Promotion / cashback / referral")</f>
        <v>7</v>
      </c>
    </row>
    <row r="17" customFormat="false" ht="15" hidden="false" customHeight="false" outlineLevel="0" collapsed="false">
      <c r="A17" s="0" t="s">
        <v>14</v>
      </c>
      <c r="B17" s="0" t="n">
        <f aca="false">COUNTIF(Verdicts!$D$4:$D$102,"Commission / fee / valuation")</f>
        <v>8</v>
      </c>
    </row>
    <row r="18" customFormat="false" ht="15" hidden="false" customHeight="false" outlineLevel="0" collapsed="false">
      <c r="A18" s="0" t="s">
        <v>15</v>
      </c>
      <c r="B18" s="0" t="n">
        <f aca="false">COUNTIF(Verdicts!$D$4:$D$102,"Unauthorized / disputed card charge")</f>
        <v>20</v>
      </c>
    </row>
    <row r="19" customFormat="false" ht="15" hidden="false" customHeight="false" outlineLevel="0" collapsed="false">
      <c r="A19" s="0" t="s">
        <v>16</v>
      </c>
      <c r="B19" s="0" t="n">
        <f aca="false">COUNTIF(Verdicts!$D$4:$D$102,"Unlisted token / wrong network (crypto)")</f>
        <v>20</v>
      </c>
    </row>
    <row r="20" customFormat="false" ht="15" hidden="false" customHeight="false" outlineLevel="0" collapsed="false">
      <c r="A20" s="0" t="s">
        <v>17</v>
      </c>
      <c r="B20" s="0" t="n">
        <f aca="false">COUNTIF(Verdicts!$D$4:$D$102,"Wrong address/alias transfer (user error)")</f>
        <v>12</v>
      </c>
    </row>
    <row r="21" customFormat="false" ht="15" hidden="false" customHeight="false" outlineLevel="0" collapsed="false">
      <c r="A21" s="0" t="s">
        <v>18</v>
      </c>
      <c r="B21" s="0" t="n">
        <f aca="false">COUNTIF(Verdicts!$D$4:$D$102,"Transfer/deposit not credited")</f>
        <v>19</v>
      </c>
    </row>
    <row r="22" customFormat="false" ht="15" hidden="false" customHeight="false" outlineLevel="0" collapsed="false">
      <c r="A22" s="0" t="s">
        <v>19</v>
      </c>
      <c r="B22" s="0" t="n">
        <f aca="false">COUNTIF(Verdicts!$D$4:$D$102,"Other")</f>
        <v>4</v>
      </c>
    </row>
    <row r="24" customFormat="false" ht="15" hidden="false" customHeight="true" outlineLevel="0" collapsed="false">
      <c r="A24" s="8" t="s">
        <v>20</v>
      </c>
      <c r="B24" s="8"/>
      <c r="C24" s="8"/>
    </row>
    <row r="25" customFormat="false" ht="30" hidden="false" customHeight="true" outlineLevel="0" collapsed="false">
      <c r="A25" s="9" t="s">
        <v>21</v>
      </c>
      <c r="B25" s="9"/>
      <c r="C25" s="9"/>
    </row>
    <row r="26" customFormat="false" ht="30" hidden="false" customHeight="true" outlineLevel="0" collapsed="false">
      <c r="A26" s="9" t="s">
        <v>22</v>
      </c>
      <c r="B26" s="9"/>
      <c r="C26" s="9"/>
    </row>
    <row r="27" customFormat="false" ht="30" hidden="false" customHeight="true" outlineLevel="0" collapsed="false">
      <c r="A27" s="9" t="s">
        <v>23</v>
      </c>
      <c r="B27" s="9"/>
      <c r="C27" s="9"/>
    </row>
    <row r="28" customFormat="false" ht="30" hidden="false" customHeight="true" outlineLevel="0" collapsed="false">
      <c r="A28" s="9" t="s">
        <v>24</v>
      </c>
      <c r="B28" s="9"/>
      <c r="C28" s="9"/>
    </row>
    <row r="29" customFormat="false" ht="30" hidden="false" customHeight="true" outlineLevel="0" collapsed="false">
      <c r="A29" s="9" t="s">
        <v>25</v>
      </c>
      <c r="B29" s="9"/>
      <c r="C29" s="9"/>
    </row>
    <row r="30" customFormat="false" ht="30" hidden="false" customHeight="true" outlineLevel="0" collapsed="false">
      <c r="A30" s="9" t="s">
        <v>26</v>
      </c>
      <c r="B30" s="9"/>
      <c r="C30" s="9"/>
    </row>
  </sheetData>
  <mergeCells count="8">
    <mergeCell ref="A1:C1"/>
    <mergeCell ref="A24:C24"/>
    <mergeCell ref="A25:C25"/>
    <mergeCell ref="A26:C26"/>
    <mergeCell ref="A27:C27"/>
    <mergeCell ref="A28:C28"/>
    <mergeCell ref="A29:C29"/>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0"/>
    <col collapsed="false" customWidth="true" hidden="false" outlineLevel="0" max="4" min="4" style="0" width="26"/>
    <col collapsed="false" customWidth="true" hidden="false" outlineLevel="0" max="6" min="5" style="0" width="46"/>
    <col collapsed="false" customWidth="true" hidden="false" outlineLevel="0" max="7" min="7" style="0" width="30"/>
    <col collapsed="false" customWidth="true" hidden="false" outlineLevel="0" max="8" min="8" style="0" width="34"/>
    <col collapsed="false" customWidth="true" hidden="false" outlineLevel="0" max="9" min="9" style="0" width="46"/>
    <col collapsed="false" customWidth="true" hidden="false" outlineLevel="0" max="10" min="10" style="0" width="44"/>
    <col collapsed="false" customWidth="true" hidden="false" outlineLevel="0" max="11" min="11" style="0" width="52"/>
    <col collapsed="false" customWidth="true" hidden="false" outlineLevel="0" max="12" min="12" style="0" width="18"/>
    <col collapsed="false" customWidth="true" hidden="false" outlineLevel="0" max="13" min="13" style="0" width="12"/>
    <col collapsed="false" customWidth="true" hidden="false" outlineLevel="0" max="14" min="14" style="0" width="80"/>
  </cols>
  <sheetData>
    <row r="1" customFormat="false" ht="25.5" hidden="false" customHeight="true" outlineLevel="0" collapsed="false">
      <c r="A1" s="1" t="s">
        <v>27</v>
      </c>
      <c r="B1" s="1"/>
      <c r="C1" s="1"/>
      <c r="D1" s="1"/>
      <c r="E1" s="1"/>
      <c r="F1" s="1"/>
      <c r="G1" s="1"/>
      <c r="H1" s="1"/>
      <c r="I1" s="1"/>
      <c r="J1" s="1"/>
      <c r="K1" s="1"/>
      <c r="L1" s="1"/>
      <c r="M1" s="1"/>
      <c r="N1" s="1"/>
    </row>
    <row r="2" customFormat="false" ht="30" hidden="false" customHeight="true" outlineLevel="0" collapsed="false">
      <c r="A2" s="10" t="s">
        <v>28</v>
      </c>
      <c r="B2" s="10"/>
      <c r="C2" s="10"/>
      <c r="D2" s="10"/>
      <c r="E2" s="10"/>
      <c r="F2" s="10"/>
      <c r="G2" s="10"/>
      <c r="H2" s="10"/>
      <c r="I2" s="10"/>
      <c r="J2" s="10"/>
      <c r="K2" s="10"/>
      <c r="L2" s="10"/>
      <c r="M2" s="10"/>
      <c r="N2" s="10"/>
    </row>
    <row r="3" customFormat="false" ht="30" hidden="false" customHeight="true" outlineLevel="0" collapsed="false">
      <c r="A3" s="11" t="s">
        <v>29</v>
      </c>
      <c r="B3" s="11" t="s">
        <v>30</v>
      </c>
      <c r="C3" s="11" t="s">
        <v>31</v>
      </c>
      <c r="D3" s="11" t="s">
        <v>32</v>
      </c>
      <c r="E3" s="11" t="s">
        <v>33</v>
      </c>
      <c r="F3" s="11" t="s">
        <v>34</v>
      </c>
      <c r="G3" s="11" t="s">
        <v>35</v>
      </c>
      <c r="H3" s="11" t="s">
        <v>36</v>
      </c>
      <c r="I3" s="11" t="s">
        <v>37</v>
      </c>
      <c r="J3" s="11" t="s">
        <v>38</v>
      </c>
      <c r="K3" s="11" t="s">
        <v>39</v>
      </c>
      <c r="L3" s="11" t="s">
        <v>40</v>
      </c>
      <c r="M3" s="11" t="s">
        <v>41</v>
      </c>
      <c r="N3" s="11" t="s">
        <v>42</v>
      </c>
    </row>
    <row r="4" customFormat="false" ht="199.95" hidden="false" customHeight="false" outlineLevel="0" collapsed="false">
      <c r="A4" s="12" t="n">
        <v>4</v>
      </c>
      <c r="B4" s="13" t="s">
        <v>43</v>
      </c>
      <c r="C4" s="13" t="s">
        <v>44</v>
      </c>
      <c r="D4" s="13" t="s">
        <v>15</v>
      </c>
      <c r="E4" s="13" t="s">
        <v>45</v>
      </c>
      <c r="F4" s="13" t="s">
        <v>46</v>
      </c>
      <c r="G4" s="13" t="s">
        <v>47</v>
      </c>
      <c r="H4" s="13" t="s">
        <v>48</v>
      </c>
      <c r="I4" s="13" t="s">
        <v>49</v>
      </c>
      <c r="J4" s="13" t="s">
        <v>50</v>
      </c>
      <c r="K4" s="13" t="s">
        <v>51</v>
      </c>
      <c r="L4" s="14" t="s">
        <v>4</v>
      </c>
      <c r="M4" s="15" t="s">
        <v>9</v>
      </c>
      <c r="N4" s="13" t="s">
        <v>52</v>
      </c>
    </row>
    <row r="5" customFormat="false" ht="126.85" hidden="false" customHeight="false" outlineLevel="0" collapsed="false">
      <c r="A5" s="12" t="n">
        <v>5</v>
      </c>
      <c r="B5" s="13" t="s">
        <v>53</v>
      </c>
      <c r="C5" s="13" t="s">
        <v>54</v>
      </c>
      <c r="D5" s="13" t="s">
        <v>14</v>
      </c>
      <c r="E5" s="13" t="s">
        <v>55</v>
      </c>
      <c r="F5" s="13" t="s">
        <v>56</v>
      </c>
      <c r="G5" s="13" t="s">
        <v>57</v>
      </c>
      <c r="H5" s="13" t="s">
        <v>58</v>
      </c>
      <c r="I5" s="13" t="s">
        <v>59</v>
      </c>
      <c r="J5" s="13" t="s">
        <v>60</v>
      </c>
      <c r="K5" s="13" t="s">
        <v>61</v>
      </c>
      <c r="L5" s="16" t="s">
        <v>3</v>
      </c>
      <c r="M5" s="15" t="s">
        <v>9</v>
      </c>
      <c r="N5" s="13" t="s">
        <v>62</v>
      </c>
    </row>
    <row r="6" customFormat="false" ht="116.4" hidden="false" customHeight="false" outlineLevel="0" collapsed="false">
      <c r="A6" s="12" t="n">
        <v>6</v>
      </c>
      <c r="B6" s="13" t="s">
        <v>63</v>
      </c>
      <c r="C6" s="13" t="s">
        <v>64</v>
      </c>
      <c r="D6" s="13" t="s">
        <v>16</v>
      </c>
      <c r="E6" s="13" t="s">
        <v>65</v>
      </c>
      <c r="F6" s="13" t="s">
        <v>66</v>
      </c>
      <c r="G6" s="13" t="s">
        <v>67</v>
      </c>
      <c r="H6" s="13" t="s">
        <v>68</v>
      </c>
      <c r="I6" s="13" t="s">
        <v>69</v>
      </c>
      <c r="J6" s="13" t="s">
        <v>70</v>
      </c>
      <c r="K6" s="13" t="s">
        <v>71</v>
      </c>
      <c r="L6" s="16" t="s">
        <v>3</v>
      </c>
      <c r="M6" s="17" t="s">
        <v>8</v>
      </c>
      <c r="N6" s="13" t="s">
        <v>72</v>
      </c>
    </row>
    <row r="7" customFormat="false" ht="126.85" hidden="false" customHeight="false" outlineLevel="0" collapsed="false">
      <c r="A7" s="12" t="n">
        <v>7</v>
      </c>
      <c r="B7" s="13" t="s">
        <v>73</v>
      </c>
      <c r="C7" s="13" t="s">
        <v>74</v>
      </c>
      <c r="D7" s="13" t="s">
        <v>12</v>
      </c>
      <c r="E7" s="13" t="s">
        <v>75</v>
      </c>
      <c r="F7" s="13" t="s">
        <v>76</v>
      </c>
      <c r="G7" s="13" t="s">
        <v>77</v>
      </c>
      <c r="H7" s="13" t="s">
        <v>78</v>
      </c>
      <c r="I7" s="13" t="s">
        <v>79</v>
      </c>
      <c r="J7" s="13" t="s">
        <v>80</v>
      </c>
      <c r="K7" s="13" t="s">
        <v>81</v>
      </c>
      <c r="L7" s="16" t="s">
        <v>3</v>
      </c>
      <c r="M7" s="15" t="s">
        <v>9</v>
      </c>
      <c r="N7" s="13" t="s">
        <v>82</v>
      </c>
    </row>
    <row r="8" customFormat="false" ht="126.85" hidden="false" customHeight="false" outlineLevel="0" collapsed="false">
      <c r="A8" s="12" t="n">
        <v>8</v>
      </c>
      <c r="B8" s="13" t="s">
        <v>83</v>
      </c>
      <c r="C8" s="13" t="s">
        <v>84</v>
      </c>
      <c r="D8" s="13" t="s">
        <v>12</v>
      </c>
      <c r="E8" s="13" t="s">
        <v>85</v>
      </c>
      <c r="F8" s="13" t="s">
        <v>86</v>
      </c>
      <c r="G8" s="13" t="s">
        <v>87</v>
      </c>
      <c r="H8" s="13" t="s">
        <v>88</v>
      </c>
      <c r="I8" s="13" t="s">
        <v>89</v>
      </c>
      <c r="J8" s="13" t="s">
        <v>90</v>
      </c>
      <c r="K8" s="13" t="s">
        <v>91</v>
      </c>
      <c r="L8" s="16" t="s">
        <v>3</v>
      </c>
      <c r="M8" s="15" t="s">
        <v>9</v>
      </c>
      <c r="N8" s="13" t="s">
        <v>92</v>
      </c>
    </row>
    <row r="9" customFormat="false" ht="137.3" hidden="false" customHeight="false" outlineLevel="0" collapsed="false">
      <c r="A9" s="12" t="n">
        <v>9</v>
      </c>
      <c r="B9" s="13" t="s">
        <v>93</v>
      </c>
      <c r="C9" s="13" t="s">
        <v>94</v>
      </c>
      <c r="D9" s="13" t="s">
        <v>13</v>
      </c>
      <c r="E9" s="13" t="s">
        <v>95</v>
      </c>
      <c r="F9" s="13" t="s">
        <v>96</v>
      </c>
      <c r="G9" s="13" t="s">
        <v>97</v>
      </c>
      <c r="H9" s="13" t="s">
        <v>98</v>
      </c>
      <c r="I9" s="13" t="s">
        <v>99</v>
      </c>
      <c r="J9" s="13" t="s">
        <v>100</v>
      </c>
      <c r="K9" s="13" t="s">
        <v>101</v>
      </c>
      <c r="L9" s="16" t="s">
        <v>3</v>
      </c>
      <c r="M9" s="15" t="s">
        <v>9</v>
      </c>
      <c r="N9" s="13" t="s">
        <v>102</v>
      </c>
    </row>
    <row r="10" customFormat="false" ht="126.85" hidden="false" customHeight="false" outlineLevel="0" collapsed="false">
      <c r="A10" s="12" t="n">
        <v>10</v>
      </c>
      <c r="B10" s="13" t="s">
        <v>103</v>
      </c>
      <c r="C10" s="13" t="s">
        <v>104</v>
      </c>
      <c r="D10" s="13" t="s">
        <v>13</v>
      </c>
      <c r="E10" s="13" t="s">
        <v>105</v>
      </c>
      <c r="F10" s="13" t="s">
        <v>106</v>
      </c>
      <c r="G10" s="13" t="s">
        <v>107</v>
      </c>
      <c r="H10" s="13" t="s">
        <v>108</v>
      </c>
      <c r="I10" s="13" t="s">
        <v>109</v>
      </c>
      <c r="J10" s="13" t="s">
        <v>110</v>
      </c>
      <c r="K10" s="13" t="s">
        <v>111</v>
      </c>
      <c r="L10" s="14" t="s">
        <v>4</v>
      </c>
      <c r="M10" s="17" t="s">
        <v>8</v>
      </c>
      <c r="N10" s="13" t="s">
        <v>112</v>
      </c>
    </row>
    <row r="11" customFormat="false" ht="126.85" hidden="false" customHeight="false" outlineLevel="0" collapsed="false">
      <c r="A11" s="12" t="n">
        <v>11</v>
      </c>
      <c r="B11" s="13" t="s">
        <v>113</v>
      </c>
      <c r="C11" s="13" t="s">
        <v>114</v>
      </c>
      <c r="D11" s="13" t="s">
        <v>14</v>
      </c>
      <c r="E11" s="13" t="s">
        <v>115</v>
      </c>
      <c r="F11" s="13" t="s">
        <v>116</v>
      </c>
      <c r="G11" s="13" t="s">
        <v>117</v>
      </c>
      <c r="H11" s="13" t="s">
        <v>118</v>
      </c>
      <c r="I11" s="13" t="s">
        <v>119</v>
      </c>
      <c r="J11" s="13" t="s">
        <v>120</v>
      </c>
      <c r="K11" s="13" t="s">
        <v>121</v>
      </c>
      <c r="L11" s="16" t="s">
        <v>3</v>
      </c>
      <c r="M11" s="15" t="s">
        <v>9</v>
      </c>
      <c r="N11" s="13" t="s">
        <v>122</v>
      </c>
    </row>
    <row r="12" customFormat="false" ht="126.85" hidden="false" customHeight="false" outlineLevel="0" collapsed="false">
      <c r="A12" s="12" t="n">
        <v>12</v>
      </c>
      <c r="B12" s="13" t="s">
        <v>123</v>
      </c>
      <c r="C12" s="13" t="s">
        <v>124</v>
      </c>
      <c r="D12" s="13" t="s">
        <v>15</v>
      </c>
      <c r="E12" s="13" t="s">
        <v>125</v>
      </c>
      <c r="F12" s="13" t="s">
        <v>126</v>
      </c>
      <c r="G12" s="13" t="s">
        <v>127</v>
      </c>
      <c r="H12" s="13" t="s">
        <v>128</v>
      </c>
      <c r="I12" s="13" t="s">
        <v>129</v>
      </c>
      <c r="J12" s="13" t="s">
        <v>130</v>
      </c>
      <c r="K12" s="13" t="s">
        <v>131</v>
      </c>
      <c r="L12" s="16" t="s">
        <v>3</v>
      </c>
      <c r="M12" s="15" t="s">
        <v>9</v>
      </c>
      <c r="N12" s="13" t="s">
        <v>132</v>
      </c>
    </row>
    <row r="13" customFormat="false" ht="137.3" hidden="false" customHeight="false" outlineLevel="0" collapsed="false">
      <c r="A13" s="12" t="n">
        <v>13</v>
      </c>
      <c r="B13" s="13" t="s">
        <v>133</v>
      </c>
      <c r="C13" s="13" t="s">
        <v>94</v>
      </c>
      <c r="D13" s="13" t="s">
        <v>13</v>
      </c>
      <c r="E13" s="13" t="s">
        <v>134</v>
      </c>
      <c r="F13" s="13" t="s">
        <v>135</v>
      </c>
      <c r="G13" s="13" t="s">
        <v>136</v>
      </c>
      <c r="H13" s="13" t="s">
        <v>137</v>
      </c>
      <c r="I13" s="13" t="s">
        <v>138</v>
      </c>
      <c r="J13" s="13" t="s">
        <v>139</v>
      </c>
      <c r="K13" s="13" t="s">
        <v>140</v>
      </c>
      <c r="L13" s="16" t="s">
        <v>3</v>
      </c>
      <c r="M13" s="15" t="s">
        <v>9</v>
      </c>
      <c r="N13" s="13" t="s">
        <v>141</v>
      </c>
    </row>
    <row r="14" customFormat="false" ht="105.95" hidden="false" customHeight="false" outlineLevel="0" collapsed="false">
      <c r="A14" s="12" t="n">
        <v>15</v>
      </c>
      <c r="B14" s="13" t="s">
        <v>142</v>
      </c>
      <c r="C14" s="13" t="s">
        <v>143</v>
      </c>
      <c r="D14" s="13" t="s">
        <v>15</v>
      </c>
      <c r="E14" s="13" t="s">
        <v>144</v>
      </c>
      <c r="F14" s="13" t="s">
        <v>145</v>
      </c>
      <c r="G14" s="13" t="s">
        <v>146</v>
      </c>
      <c r="H14" s="13" t="s">
        <v>147</v>
      </c>
      <c r="I14" s="13" t="s">
        <v>148</v>
      </c>
      <c r="J14" s="13" t="s">
        <v>149</v>
      </c>
      <c r="K14" s="13" t="s">
        <v>150</v>
      </c>
      <c r="L14" s="16" t="s">
        <v>3</v>
      </c>
      <c r="M14" s="17" t="s">
        <v>8</v>
      </c>
      <c r="N14" s="13" t="s">
        <v>151</v>
      </c>
    </row>
    <row r="15" customFormat="false" ht="95.5" hidden="false" customHeight="false" outlineLevel="0" collapsed="false">
      <c r="A15" s="12" t="n">
        <v>17</v>
      </c>
      <c r="B15" s="13" t="s">
        <v>152</v>
      </c>
      <c r="C15" s="13" t="s">
        <v>153</v>
      </c>
      <c r="D15" s="13" t="s">
        <v>16</v>
      </c>
      <c r="E15" s="13" t="s">
        <v>154</v>
      </c>
      <c r="F15" s="13" t="s">
        <v>155</v>
      </c>
      <c r="G15" s="13" t="s">
        <v>156</v>
      </c>
      <c r="H15" s="13" t="s">
        <v>157</v>
      </c>
      <c r="I15" s="13" t="s">
        <v>158</v>
      </c>
      <c r="J15" s="13" t="s">
        <v>159</v>
      </c>
      <c r="K15" s="13" t="s">
        <v>160</v>
      </c>
      <c r="L15" s="16" t="s">
        <v>3</v>
      </c>
      <c r="M15" s="17" t="s">
        <v>8</v>
      </c>
      <c r="N15" s="13" t="s">
        <v>161</v>
      </c>
    </row>
    <row r="16" customFormat="false" ht="95.5" hidden="false" customHeight="false" outlineLevel="0" collapsed="false">
      <c r="A16" s="12" t="n">
        <v>23</v>
      </c>
      <c r="B16" s="13" t="s">
        <v>162</v>
      </c>
      <c r="C16" s="13" t="s">
        <v>163</v>
      </c>
      <c r="D16" s="13" t="s">
        <v>14</v>
      </c>
      <c r="E16" s="13" t="s">
        <v>164</v>
      </c>
      <c r="F16" s="13" t="s">
        <v>165</v>
      </c>
      <c r="G16" s="13" t="s">
        <v>166</v>
      </c>
      <c r="H16" s="13" t="s">
        <v>167</v>
      </c>
      <c r="I16" s="13" t="s">
        <v>168</v>
      </c>
      <c r="J16" s="13" t="s">
        <v>169</v>
      </c>
      <c r="K16" s="13" t="s">
        <v>170</v>
      </c>
      <c r="L16" s="16" t="s">
        <v>3</v>
      </c>
      <c r="M16" s="17" t="s">
        <v>8</v>
      </c>
      <c r="N16" s="13" t="s">
        <v>171</v>
      </c>
    </row>
    <row r="17" customFormat="false" ht="85.05" hidden="false" customHeight="false" outlineLevel="0" collapsed="false">
      <c r="A17" s="12" t="n">
        <v>24</v>
      </c>
      <c r="B17" s="13" t="s">
        <v>172</v>
      </c>
      <c r="C17" s="13" t="s">
        <v>173</v>
      </c>
      <c r="D17" s="13" t="s">
        <v>15</v>
      </c>
      <c r="E17" s="13" t="s">
        <v>174</v>
      </c>
      <c r="F17" s="13" t="s">
        <v>175</v>
      </c>
      <c r="G17" s="13" t="s">
        <v>176</v>
      </c>
      <c r="H17" s="13" t="s">
        <v>177</v>
      </c>
      <c r="I17" s="13" t="s">
        <v>178</v>
      </c>
      <c r="J17" s="13" t="s">
        <v>179</v>
      </c>
      <c r="K17" s="13" t="s">
        <v>180</v>
      </c>
      <c r="L17" s="16" t="s">
        <v>3</v>
      </c>
      <c r="M17" s="17" t="s">
        <v>8</v>
      </c>
      <c r="N17" s="13" t="s">
        <v>181</v>
      </c>
    </row>
    <row r="18" customFormat="false" ht="137.3" hidden="false" customHeight="false" outlineLevel="0" collapsed="false">
      <c r="A18" s="12" t="n">
        <v>25</v>
      </c>
      <c r="B18" s="13" t="s">
        <v>182</v>
      </c>
      <c r="C18" s="13" t="s">
        <v>183</v>
      </c>
      <c r="D18" s="13" t="s">
        <v>15</v>
      </c>
      <c r="E18" s="13" t="s">
        <v>184</v>
      </c>
      <c r="F18" s="13" t="s">
        <v>185</v>
      </c>
      <c r="G18" s="13" t="s">
        <v>146</v>
      </c>
      <c r="H18" s="13" t="s">
        <v>186</v>
      </c>
      <c r="I18" s="13" t="s">
        <v>187</v>
      </c>
      <c r="J18" s="13" t="s">
        <v>188</v>
      </c>
      <c r="K18" s="13" t="s">
        <v>189</v>
      </c>
      <c r="L18" s="16" t="s">
        <v>3</v>
      </c>
      <c r="M18" s="15" t="s">
        <v>9</v>
      </c>
      <c r="N18" s="13" t="s">
        <v>190</v>
      </c>
    </row>
    <row r="19" customFormat="false" ht="85.05" hidden="false" customHeight="false" outlineLevel="0" collapsed="false">
      <c r="A19" s="12" t="n">
        <v>26</v>
      </c>
      <c r="B19" s="13" t="s">
        <v>191</v>
      </c>
      <c r="C19" s="13" t="s">
        <v>192</v>
      </c>
      <c r="D19" s="13" t="s">
        <v>15</v>
      </c>
      <c r="E19" s="13" t="s">
        <v>193</v>
      </c>
      <c r="F19" s="13" t="s">
        <v>194</v>
      </c>
      <c r="G19" s="13" t="s">
        <v>176</v>
      </c>
      <c r="H19" s="13" t="s">
        <v>195</v>
      </c>
      <c r="I19" s="13" t="s">
        <v>196</v>
      </c>
      <c r="J19" s="13" t="s">
        <v>197</v>
      </c>
      <c r="K19" s="13" t="s">
        <v>198</v>
      </c>
      <c r="L19" s="16" t="s">
        <v>3</v>
      </c>
      <c r="M19" s="17" t="s">
        <v>8</v>
      </c>
      <c r="N19" s="13" t="s">
        <v>199</v>
      </c>
    </row>
    <row r="20" customFormat="false" ht="105.95" hidden="false" customHeight="false" outlineLevel="0" collapsed="false">
      <c r="A20" s="12" t="n">
        <v>27</v>
      </c>
      <c r="B20" s="13" t="s">
        <v>200</v>
      </c>
      <c r="C20" s="13" t="s">
        <v>201</v>
      </c>
      <c r="D20" s="13" t="s">
        <v>15</v>
      </c>
      <c r="E20" s="13" t="s">
        <v>202</v>
      </c>
      <c r="F20" s="13" t="s">
        <v>203</v>
      </c>
      <c r="G20" s="13" t="s">
        <v>146</v>
      </c>
      <c r="H20" s="13" t="s">
        <v>186</v>
      </c>
      <c r="I20" s="13" t="s">
        <v>204</v>
      </c>
      <c r="J20" s="13" t="s">
        <v>205</v>
      </c>
      <c r="K20" s="13" t="s">
        <v>206</v>
      </c>
      <c r="L20" s="16" t="s">
        <v>3</v>
      </c>
      <c r="M20" s="15" t="s">
        <v>9</v>
      </c>
      <c r="N20" s="13" t="s">
        <v>207</v>
      </c>
    </row>
    <row r="21" customFormat="false" ht="105.95" hidden="false" customHeight="false" outlineLevel="0" collapsed="false">
      <c r="A21" s="12" t="n">
        <v>28</v>
      </c>
      <c r="B21" s="13" t="s">
        <v>208</v>
      </c>
      <c r="C21" s="13" t="s">
        <v>209</v>
      </c>
      <c r="D21" s="13" t="s">
        <v>16</v>
      </c>
      <c r="E21" s="13" t="s">
        <v>210</v>
      </c>
      <c r="F21" s="13" t="s">
        <v>211</v>
      </c>
      <c r="G21" s="13" t="s">
        <v>212</v>
      </c>
      <c r="H21" s="13" t="s">
        <v>213</v>
      </c>
      <c r="I21" s="13" t="s">
        <v>214</v>
      </c>
      <c r="J21" s="13" t="s">
        <v>215</v>
      </c>
      <c r="K21" s="13" t="s">
        <v>216</v>
      </c>
      <c r="L21" s="14" t="s">
        <v>4</v>
      </c>
      <c r="M21" s="15" t="s">
        <v>9</v>
      </c>
      <c r="N21" s="13" t="s">
        <v>217</v>
      </c>
    </row>
    <row r="22" customFormat="false" ht="95.5" hidden="false" customHeight="false" outlineLevel="0" collapsed="false">
      <c r="A22" s="12" t="n">
        <v>29</v>
      </c>
      <c r="B22" s="13" t="s">
        <v>218</v>
      </c>
      <c r="C22" s="13" t="s">
        <v>219</v>
      </c>
      <c r="D22" s="13" t="s">
        <v>12</v>
      </c>
      <c r="E22" s="13" t="s">
        <v>220</v>
      </c>
      <c r="F22" s="13" t="s">
        <v>221</v>
      </c>
      <c r="G22" s="13" t="s">
        <v>222</v>
      </c>
      <c r="H22" s="13" t="s">
        <v>223</v>
      </c>
      <c r="I22" s="13" t="s">
        <v>224</v>
      </c>
      <c r="J22" s="13" t="s">
        <v>225</v>
      </c>
      <c r="K22" s="13" t="s">
        <v>226</v>
      </c>
      <c r="L22" s="16" t="s">
        <v>3</v>
      </c>
      <c r="M22" s="17" t="s">
        <v>8</v>
      </c>
      <c r="N22" s="13" t="s">
        <v>227</v>
      </c>
    </row>
    <row r="23" customFormat="false" ht="116.4" hidden="false" customHeight="false" outlineLevel="0" collapsed="false">
      <c r="A23" s="12" t="n">
        <v>30</v>
      </c>
      <c r="B23" s="13" t="s">
        <v>228</v>
      </c>
      <c r="C23" s="13" t="s">
        <v>229</v>
      </c>
      <c r="D23" s="13" t="s">
        <v>14</v>
      </c>
      <c r="E23" s="13" t="s">
        <v>230</v>
      </c>
      <c r="F23" s="13" t="s">
        <v>231</v>
      </c>
      <c r="G23" s="13" t="s">
        <v>232</v>
      </c>
      <c r="H23" s="13" t="s">
        <v>233</v>
      </c>
      <c r="I23" s="13" t="s">
        <v>234</v>
      </c>
      <c r="J23" s="13" t="s">
        <v>235</v>
      </c>
      <c r="K23" s="13" t="s">
        <v>236</v>
      </c>
      <c r="L23" s="16" t="s">
        <v>3</v>
      </c>
      <c r="M23" s="15" t="s">
        <v>9</v>
      </c>
      <c r="N23" s="13" t="s">
        <v>237</v>
      </c>
    </row>
    <row r="24" customFormat="false" ht="147.75" hidden="false" customHeight="false" outlineLevel="0" collapsed="false">
      <c r="A24" s="12" t="n">
        <v>31</v>
      </c>
      <c r="B24" s="13" t="s">
        <v>238</v>
      </c>
      <c r="C24" s="13" t="s">
        <v>239</v>
      </c>
      <c r="D24" s="13" t="s">
        <v>18</v>
      </c>
      <c r="E24" s="13" t="s">
        <v>240</v>
      </c>
      <c r="F24" s="13" t="s">
        <v>241</v>
      </c>
      <c r="G24" s="13" t="s">
        <v>242</v>
      </c>
      <c r="H24" s="13" t="s">
        <v>243</v>
      </c>
      <c r="I24" s="13" t="s">
        <v>244</v>
      </c>
      <c r="J24" s="13" t="s">
        <v>245</v>
      </c>
      <c r="K24" s="13" t="s">
        <v>246</v>
      </c>
      <c r="L24" s="16" t="s">
        <v>3</v>
      </c>
      <c r="M24" s="15" t="s">
        <v>9</v>
      </c>
      <c r="N24" s="13" t="s">
        <v>247</v>
      </c>
    </row>
    <row r="25" customFormat="false" ht="126.85" hidden="false" customHeight="false" outlineLevel="0" collapsed="false">
      <c r="A25" s="12" t="n">
        <v>32</v>
      </c>
      <c r="B25" s="13" t="s">
        <v>248</v>
      </c>
      <c r="C25" s="13" t="s">
        <v>249</v>
      </c>
      <c r="D25" s="13" t="s">
        <v>18</v>
      </c>
      <c r="E25" s="13" t="s">
        <v>250</v>
      </c>
      <c r="F25" s="13" t="s">
        <v>251</v>
      </c>
      <c r="G25" s="13" t="s">
        <v>242</v>
      </c>
      <c r="H25" s="13" t="s">
        <v>252</v>
      </c>
      <c r="I25" s="13" t="s">
        <v>253</v>
      </c>
      <c r="J25" s="13" t="s">
        <v>254</v>
      </c>
      <c r="K25" s="13" t="s">
        <v>255</v>
      </c>
      <c r="L25" s="16" t="s">
        <v>3</v>
      </c>
      <c r="M25" s="17" t="s">
        <v>8</v>
      </c>
      <c r="N25" s="13" t="s">
        <v>256</v>
      </c>
    </row>
    <row r="26" customFormat="false" ht="116.4" hidden="false" customHeight="false" outlineLevel="0" collapsed="false">
      <c r="A26" s="12" t="n">
        <v>33</v>
      </c>
      <c r="B26" s="13" t="s">
        <v>257</v>
      </c>
      <c r="C26" s="13" t="s">
        <v>258</v>
      </c>
      <c r="D26" s="13" t="s">
        <v>12</v>
      </c>
      <c r="E26" s="13" t="s">
        <v>259</v>
      </c>
      <c r="F26" s="13" t="s">
        <v>260</v>
      </c>
      <c r="G26" s="13" t="s">
        <v>261</v>
      </c>
      <c r="H26" s="13" t="s">
        <v>262</v>
      </c>
      <c r="I26" s="13" t="s">
        <v>263</v>
      </c>
      <c r="J26" s="13" t="s">
        <v>264</v>
      </c>
      <c r="K26" s="13" t="s">
        <v>265</v>
      </c>
      <c r="L26" s="16" t="s">
        <v>3</v>
      </c>
      <c r="M26" s="17" t="s">
        <v>8</v>
      </c>
      <c r="N26" s="13" t="s">
        <v>266</v>
      </c>
    </row>
    <row r="27" customFormat="false" ht="137.3" hidden="false" customHeight="false" outlineLevel="0" collapsed="false">
      <c r="A27" s="12" t="n">
        <v>34</v>
      </c>
      <c r="B27" s="13" t="s">
        <v>267</v>
      </c>
      <c r="C27" s="13" t="s">
        <v>268</v>
      </c>
      <c r="D27" s="13" t="s">
        <v>18</v>
      </c>
      <c r="E27" s="13" t="s">
        <v>269</v>
      </c>
      <c r="F27" s="13" t="s">
        <v>270</v>
      </c>
      <c r="G27" s="13" t="s">
        <v>242</v>
      </c>
      <c r="H27" s="13" t="s">
        <v>243</v>
      </c>
      <c r="I27" s="13" t="s">
        <v>271</v>
      </c>
      <c r="J27" s="13" t="s">
        <v>272</v>
      </c>
      <c r="K27" s="13" t="s">
        <v>273</v>
      </c>
      <c r="L27" s="16" t="s">
        <v>3</v>
      </c>
      <c r="M27" s="15" t="s">
        <v>9</v>
      </c>
      <c r="N27" s="13" t="s">
        <v>274</v>
      </c>
    </row>
    <row r="28" customFormat="false" ht="95.5" hidden="false" customHeight="false" outlineLevel="0" collapsed="false">
      <c r="A28" s="12" t="n">
        <v>35</v>
      </c>
      <c r="B28" s="13" t="s">
        <v>275</v>
      </c>
      <c r="C28" s="13" t="s">
        <v>276</v>
      </c>
      <c r="D28" s="13" t="s">
        <v>15</v>
      </c>
      <c r="E28" s="13" t="s">
        <v>277</v>
      </c>
      <c r="F28" s="13" t="s">
        <v>278</v>
      </c>
      <c r="G28" s="13" t="s">
        <v>261</v>
      </c>
      <c r="H28" s="13" t="s">
        <v>279</v>
      </c>
      <c r="I28" s="13" t="s">
        <v>280</v>
      </c>
      <c r="J28" s="13" t="s">
        <v>281</v>
      </c>
      <c r="K28" s="13" t="s">
        <v>282</v>
      </c>
      <c r="L28" s="16" t="s">
        <v>3</v>
      </c>
      <c r="M28" s="17" t="s">
        <v>8</v>
      </c>
      <c r="N28" s="13" t="s">
        <v>283</v>
      </c>
    </row>
    <row r="29" customFormat="false" ht="147.75" hidden="false" customHeight="false" outlineLevel="0" collapsed="false">
      <c r="A29" s="12" t="n">
        <v>36</v>
      </c>
      <c r="B29" s="13" t="s">
        <v>284</v>
      </c>
      <c r="C29" s="13" t="s">
        <v>285</v>
      </c>
      <c r="D29" s="13" t="s">
        <v>14</v>
      </c>
      <c r="E29" s="13" t="s">
        <v>286</v>
      </c>
      <c r="F29" s="13" t="s">
        <v>287</v>
      </c>
      <c r="G29" s="13" t="s">
        <v>242</v>
      </c>
      <c r="H29" s="13" t="s">
        <v>288</v>
      </c>
      <c r="I29" s="13" t="s">
        <v>289</v>
      </c>
      <c r="J29" s="13" t="s">
        <v>290</v>
      </c>
      <c r="K29" s="13" t="s">
        <v>291</v>
      </c>
      <c r="L29" s="16" t="s">
        <v>3</v>
      </c>
      <c r="M29" s="17" t="s">
        <v>8</v>
      </c>
      <c r="N29" s="13" t="s">
        <v>292</v>
      </c>
    </row>
    <row r="30" customFormat="false" ht="147.75" hidden="false" customHeight="false" outlineLevel="0" collapsed="false">
      <c r="A30" s="12" t="n">
        <v>37</v>
      </c>
      <c r="B30" s="13" t="s">
        <v>293</v>
      </c>
      <c r="C30" s="13" t="s">
        <v>294</v>
      </c>
      <c r="D30" s="13" t="s">
        <v>18</v>
      </c>
      <c r="E30" s="13" t="s">
        <v>295</v>
      </c>
      <c r="F30" s="13" t="s">
        <v>296</v>
      </c>
      <c r="G30" s="13" t="s">
        <v>242</v>
      </c>
      <c r="H30" s="13" t="s">
        <v>297</v>
      </c>
      <c r="I30" s="13" t="s">
        <v>298</v>
      </c>
      <c r="J30" s="13" t="s">
        <v>299</v>
      </c>
      <c r="K30" s="13" t="s">
        <v>300</v>
      </c>
      <c r="L30" s="16" t="s">
        <v>3</v>
      </c>
      <c r="M30" s="15" t="s">
        <v>9</v>
      </c>
      <c r="N30" s="13" t="s">
        <v>301</v>
      </c>
    </row>
    <row r="31" customFormat="false" ht="126.85" hidden="false" customHeight="false" outlineLevel="0" collapsed="false">
      <c r="A31" s="12" t="n">
        <v>38</v>
      </c>
      <c r="B31" s="13" t="s">
        <v>302</v>
      </c>
      <c r="C31" s="13" t="s">
        <v>303</v>
      </c>
      <c r="D31" s="13" t="s">
        <v>18</v>
      </c>
      <c r="E31" s="13" t="s">
        <v>304</v>
      </c>
      <c r="F31" s="13" t="s">
        <v>305</v>
      </c>
      <c r="G31" s="13" t="s">
        <v>242</v>
      </c>
      <c r="H31" s="13" t="s">
        <v>297</v>
      </c>
      <c r="I31" s="13" t="s">
        <v>306</v>
      </c>
      <c r="J31" s="13" t="s">
        <v>307</v>
      </c>
      <c r="K31" s="13" t="s">
        <v>308</v>
      </c>
      <c r="L31" s="16" t="s">
        <v>3</v>
      </c>
      <c r="M31" s="17" t="s">
        <v>8</v>
      </c>
      <c r="N31" s="13" t="s">
        <v>309</v>
      </c>
    </row>
    <row r="32" customFormat="false" ht="137.3" hidden="false" customHeight="false" outlineLevel="0" collapsed="false">
      <c r="A32" s="12" t="n">
        <v>39</v>
      </c>
      <c r="B32" s="13" t="s">
        <v>310</v>
      </c>
      <c r="C32" s="13" t="s">
        <v>311</v>
      </c>
      <c r="D32" s="13" t="s">
        <v>18</v>
      </c>
      <c r="E32" s="13" t="s">
        <v>312</v>
      </c>
      <c r="F32" s="13" t="s">
        <v>313</v>
      </c>
      <c r="G32" s="13" t="s">
        <v>242</v>
      </c>
      <c r="H32" s="13" t="s">
        <v>314</v>
      </c>
      <c r="I32" s="13" t="s">
        <v>315</v>
      </c>
      <c r="J32" s="13" t="s">
        <v>316</v>
      </c>
      <c r="K32" s="13" t="s">
        <v>317</v>
      </c>
      <c r="L32" s="16" t="s">
        <v>3</v>
      </c>
      <c r="M32" s="17" t="s">
        <v>8</v>
      </c>
      <c r="N32" s="13" t="s">
        <v>318</v>
      </c>
    </row>
    <row r="33" customFormat="false" ht="158.2" hidden="false" customHeight="false" outlineLevel="0" collapsed="false">
      <c r="A33" s="12" t="n">
        <v>40</v>
      </c>
      <c r="B33" s="13" t="s">
        <v>319</v>
      </c>
      <c r="C33" s="13" t="s">
        <v>320</v>
      </c>
      <c r="D33" s="13" t="s">
        <v>17</v>
      </c>
      <c r="E33" s="13" t="s">
        <v>321</v>
      </c>
      <c r="F33" s="13" t="s">
        <v>322</v>
      </c>
      <c r="G33" s="13" t="s">
        <v>323</v>
      </c>
      <c r="H33" s="13" t="s">
        <v>324</v>
      </c>
      <c r="I33" s="13" t="s">
        <v>325</v>
      </c>
      <c r="J33" s="13" t="s">
        <v>326</v>
      </c>
      <c r="K33" s="13" t="s">
        <v>327</v>
      </c>
      <c r="L33" s="16" t="s">
        <v>3</v>
      </c>
      <c r="M33" s="17" t="s">
        <v>8</v>
      </c>
      <c r="N33" s="13" t="s">
        <v>328</v>
      </c>
    </row>
    <row r="34" customFormat="false" ht="126.85" hidden="false" customHeight="false" outlineLevel="0" collapsed="false">
      <c r="A34" s="12" t="n">
        <v>41</v>
      </c>
      <c r="B34" s="13" t="s">
        <v>329</v>
      </c>
      <c r="C34" s="13" t="s">
        <v>330</v>
      </c>
      <c r="D34" s="13" t="s">
        <v>18</v>
      </c>
      <c r="E34" s="13" t="s">
        <v>331</v>
      </c>
      <c r="F34" s="13" t="s">
        <v>332</v>
      </c>
      <c r="G34" s="13" t="s">
        <v>333</v>
      </c>
      <c r="H34" s="13" t="s">
        <v>334</v>
      </c>
      <c r="I34" s="13" t="s">
        <v>335</v>
      </c>
      <c r="J34" s="13" t="s">
        <v>336</v>
      </c>
      <c r="K34" s="13" t="s">
        <v>337</v>
      </c>
      <c r="L34" s="16" t="s">
        <v>3</v>
      </c>
      <c r="M34" s="17" t="s">
        <v>8</v>
      </c>
      <c r="N34" s="13" t="s">
        <v>338</v>
      </c>
    </row>
    <row r="35" customFormat="false" ht="137.3" hidden="false" customHeight="false" outlineLevel="0" collapsed="false">
      <c r="A35" s="12" t="n">
        <v>42</v>
      </c>
      <c r="B35" s="13" t="s">
        <v>339</v>
      </c>
      <c r="C35" s="13" t="s">
        <v>340</v>
      </c>
      <c r="D35" s="13" t="s">
        <v>17</v>
      </c>
      <c r="E35" s="13" t="s">
        <v>341</v>
      </c>
      <c r="F35" s="13" t="s">
        <v>342</v>
      </c>
      <c r="G35" s="13" t="s">
        <v>323</v>
      </c>
      <c r="H35" s="13" t="s">
        <v>343</v>
      </c>
      <c r="I35" s="13" t="s">
        <v>344</v>
      </c>
      <c r="J35" s="13" t="s">
        <v>345</v>
      </c>
      <c r="K35" s="13" t="s">
        <v>346</v>
      </c>
      <c r="L35" s="16" t="s">
        <v>3</v>
      </c>
      <c r="M35" s="17" t="s">
        <v>8</v>
      </c>
      <c r="N35" s="13" t="s">
        <v>347</v>
      </c>
    </row>
    <row r="36" customFormat="false" ht="137.3" hidden="false" customHeight="false" outlineLevel="0" collapsed="false">
      <c r="A36" s="12" t="n">
        <v>43</v>
      </c>
      <c r="B36" s="13" t="s">
        <v>348</v>
      </c>
      <c r="C36" s="13" t="s">
        <v>349</v>
      </c>
      <c r="D36" s="13" t="s">
        <v>16</v>
      </c>
      <c r="E36" s="13" t="s">
        <v>350</v>
      </c>
      <c r="F36" s="13" t="s">
        <v>351</v>
      </c>
      <c r="G36" s="13" t="s">
        <v>323</v>
      </c>
      <c r="H36" s="13" t="s">
        <v>334</v>
      </c>
      <c r="I36" s="13" t="s">
        <v>352</v>
      </c>
      <c r="J36" s="13" t="s">
        <v>353</v>
      </c>
      <c r="K36" s="13" t="s">
        <v>354</v>
      </c>
      <c r="L36" s="16" t="s">
        <v>3</v>
      </c>
      <c r="M36" s="17" t="s">
        <v>8</v>
      </c>
      <c r="N36" s="13" t="s">
        <v>355</v>
      </c>
    </row>
    <row r="37" customFormat="false" ht="137.3" hidden="false" customHeight="false" outlineLevel="0" collapsed="false">
      <c r="A37" s="12" t="n">
        <v>44</v>
      </c>
      <c r="B37" s="13" t="s">
        <v>356</v>
      </c>
      <c r="C37" s="13" t="s">
        <v>357</v>
      </c>
      <c r="D37" s="13" t="s">
        <v>17</v>
      </c>
      <c r="E37" s="13" t="s">
        <v>358</v>
      </c>
      <c r="F37" s="13" t="s">
        <v>359</v>
      </c>
      <c r="G37" s="13" t="s">
        <v>333</v>
      </c>
      <c r="H37" s="13" t="s">
        <v>334</v>
      </c>
      <c r="I37" s="13" t="s">
        <v>360</v>
      </c>
      <c r="J37" s="13" t="s">
        <v>361</v>
      </c>
      <c r="K37" s="13" t="s">
        <v>362</v>
      </c>
      <c r="L37" s="16" t="s">
        <v>3</v>
      </c>
      <c r="M37" s="17" t="s">
        <v>8</v>
      </c>
      <c r="N37" s="13" t="s">
        <v>363</v>
      </c>
    </row>
    <row r="38" customFormat="false" ht="116.4" hidden="false" customHeight="false" outlineLevel="0" collapsed="false">
      <c r="A38" s="12" t="n">
        <v>45</v>
      </c>
      <c r="B38" s="13" t="s">
        <v>364</v>
      </c>
      <c r="C38" s="13" t="s">
        <v>365</v>
      </c>
      <c r="D38" s="13" t="s">
        <v>18</v>
      </c>
      <c r="E38" s="13" t="s">
        <v>366</v>
      </c>
      <c r="F38" s="13" t="s">
        <v>367</v>
      </c>
      <c r="G38" s="13" t="s">
        <v>368</v>
      </c>
      <c r="H38" s="13" t="s">
        <v>369</v>
      </c>
      <c r="I38" s="13" t="s">
        <v>370</v>
      </c>
      <c r="J38" s="13" t="s">
        <v>371</v>
      </c>
      <c r="K38" s="13" t="s">
        <v>372</v>
      </c>
      <c r="L38" s="16" t="s">
        <v>3</v>
      </c>
      <c r="M38" s="17" t="s">
        <v>8</v>
      </c>
      <c r="N38" s="13" t="s">
        <v>373</v>
      </c>
    </row>
    <row r="39" customFormat="false" ht="147.75" hidden="false" customHeight="false" outlineLevel="0" collapsed="false">
      <c r="A39" s="12" t="n">
        <v>46</v>
      </c>
      <c r="B39" s="13" t="s">
        <v>374</v>
      </c>
      <c r="C39" s="13" t="s">
        <v>375</v>
      </c>
      <c r="D39" s="13" t="s">
        <v>12</v>
      </c>
      <c r="E39" s="13" t="s">
        <v>376</v>
      </c>
      <c r="F39" s="13" t="s">
        <v>377</v>
      </c>
      <c r="G39" s="13" t="s">
        <v>378</v>
      </c>
      <c r="H39" s="13" t="s">
        <v>379</v>
      </c>
      <c r="I39" s="13" t="s">
        <v>380</v>
      </c>
      <c r="J39" s="13" t="s">
        <v>381</v>
      </c>
      <c r="K39" s="13" t="s">
        <v>382</v>
      </c>
      <c r="L39" s="16" t="s">
        <v>3</v>
      </c>
      <c r="M39" s="17" t="s">
        <v>8</v>
      </c>
      <c r="N39" s="13" t="s">
        <v>383</v>
      </c>
    </row>
    <row r="40" customFormat="false" ht="126.85" hidden="false" customHeight="false" outlineLevel="0" collapsed="false">
      <c r="A40" s="12" t="n">
        <v>47</v>
      </c>
      <c r="B40" s="13" t="s">
        <v>384</v>
      </c>
      <c r="C40" s="13" t="s">
        <v>385</v>
      </c>
      <c r="D40" s="13" t="s">
        <v>12</v>
      </c>
      <c r="E40" s="13" t="s">
        <v>386</v>
      </c>
      <c r="F40" s="13" t="s">
        <v>387</v>
      </c>
      <c r="G40" s="13" t="s">
        <v>388</v>
      </c>
      <c r="H40" s="13" t="s">
        <v>389</v>
      </c>
      <c r="I40" s="13" t="s">
        <v>390</v>
      </c>
      <c r="J40" s="13" t="s">
        <v>391</v>
      </c>
      <c r="K40" s="13" t="s">
        <v>392</v>
      </c>
      <c r="L40" s="16" t="s">
        <v>3</v>
      </c>
      <c r="M40" s="17" t="s">
        <v>8</v>
      </c>
      <c r="N40" s="13" t="s">
        <v>393</v>
      </c>
    </row>
    <row r="41" customFormat="false" ht="147.75" hidden="false" customHeight="false" outlineLevel="0" collapsed="false">
      <c r="A41" s="12" t="n">
        <v>48</v>
      </c>
      <c r="B41" s="13" t="s">
        <v>394</v>
      </c>
      <c r="C41" s="13" t="s">
        <v>395</v>
      </c>
      <c r="D41" s="13" t="s">
        <v>14</v>
      </c>
      <c r="E41" s="13" t="s">
        <v>396</v>
      </c>
      <c r="F41" s="13" t="s">
        <v>397</v>
      </c>
      <c r="G41" s="13" t="s">
        <v>398</v>
      </c>
      <c r="H41" s="13" t="s">
        <v>399</v>
      </c>
      <c r="I41" s="13" t="s">
        <v>400</v>
      </c>
      <c r="J41" s="13" t="s">
        <v>401</v>
      </c>
      <c r="K41" s="13" t="s">
        <v>402</v>
      </c>
      <c r="L41" s="16" t="s">
        <v>3</v>
      </c>
      <c r="M41" s="17" t="s">
        <v>8</v>
      </c>
      <c r="N41" s="13" t="s">
        <v>403</v>
      </c>
    </row>
    <row r="42" customFormat="false" ht="126.85" hidden="false" customHeight="false" outlineLevel="0" collapsed="false">
      <c r="A42" s="12" t="n">
        <v>49</v>
      </c>
      <c r="B42" s="13" t="s">
        <v>404</v>
      </c>
      <c r="C42" s="13" t="s">
        <v>405</v>
      </c>
      <c r="D42" s="13" t="s">
        <v>14</v>
      </c>
      <c r="E42" s="13" t="s">
        <v>406</v>
      </c>
      <c r="F42" s="13" t="s">
        <v>407</v>
      </c>
      <c r="G42" s="13" t="s">
        <v>398</v>
      </c>
      <c r="H42" s="13" t="s">
        <v>399</v>
      </c>
      <c r="I42" s="13" t="s">
        <v>408</v>
      </c>
      <c r="J42" s="13" t="s">
        <v>409</v>
      </c>
      <c r="K42" s="13" t="s">
        <v>410</v>
      </c>
      <c r="L42" s="16" t="s">
        <v>3</v>
      </c>
      <c r="M42" s="17" t="s">
        <v>8</v>
      </c>
      <c r="N42" s="13" t="s">
        <v>411</v>
      </c>
    </row>
    <row r="43" customFormat="false" ht="126.85" hidden="false" customHeight="false" outlineLevel="0" collapsed="false">
      <c r="A43" s="12" t="n">
        <v>50</v>
      </c>
      <c r="B43" s="13" t="s">
        <v>412</v>
      </c>
      <c r="C43" s="13" t="s">
        <v>413</v>
      </c>
      <c r="D43" s="13" t="s">
        <v>18</v>
      </c>
      <c r="E43" s="13" t="s">
        <v>414</v>
      </c>
      <c r="F43" s="13" t="s">
        <v>415</v>
      </c>
      <c r="G43" s="13" t="s">
        <v>416</v>
      </c>
      <c r="H43" s="13" t="s">
        <v>417</v>
      </c>
      <c r="I43" s="13" t="s">
        <v>418</v>
      </c>
      <c r="J43" s="13" t="s">
        <v>419</v>
      </c>
      <c r="K43" s="13" t="s">
        <v>420</v>
      </c>
      <c r="L43" s="16" t="s">
        <v>3</v>
      </c>
      <c r="M43" s="17" t="s">
        <v>8</v>
      </c>
      <c r="N43" s="13" t="s">
        <v>421</v>
      </c>
    </row>
    <row r="44" customFormat="false" ht="126.85" hidden="false" customHeight="false" outlineLevel="0" collapsed="false">
      <c r="A44" s="12" t="n">
        <v>51</v>
      </c>
      <c r="B44" s="13" t="s">
        <v>422</v>
      </c>
      <c r="C44" s="13" t="s">
        <v>423</v>
      </c>
      <c r="D44" s="13" t="s">
        <v>17</v>
      </c>
      <c r="E44" s="13" t="s">
        <v>424</v>
      </c>
      <c r="F44" s="13" t="s">
        <v>425</v>
      </c>
      <c r="G44" s="13" t="s">
        <v>426</v>
      </c>
      <c r="H44" s="13" t="s">
        <v>417</v>
      </c>
      <c r="I44" s="13" t="s">
        <v>427</v>
      </c>
      <c r="J44" s="13" t="s">
        <v>428</v>
      </c>
      <c r="K44" s="13" t="s">
        <v>429</v>
      </c>
      <c r="L44" s="16" t="s">
        <v>3</v>
      </c>
      <c r="M44" s="17" t="s">
        <v>8</v>
      </c>
      <c r="N44" s="13" t="s">
        <v>430</v>
      </c>
    </row>
    <row r="45" customFormat="false" ht="137.3" hidden="false" customHeight="false" outlineLevel="0" collapsed="false">
      <c r="A45" s="12" t="n">
        <v>52</v>
      </c>
      <c r="B45" s="13" t="s">
        <v>431</v>
      </c>
      <c r="C45" s="13" t="s">
        <v>432</v>
      </c>
      <c r="D45" s="13" t="s">
        <v>17</v>
      </c>
      <c r="E45" s="13" t="s">
        <v>433</v>
      </c>
      <c r="F45" s="13" t="s">
        <v>434</v>
      </c>
      <c r="G45" s="13" t="s">
        <v>435</v>
      </c>
      <c r="H45" s="13" t="s">
        <v>417</v>
      </c>
      <c r="I45" s="13" t="s">
        <v>436</v>
      </c>
      <c r="J45" s="13" t="s">
        <v>437</v>
      </c>
      <c r="K45" s="13" t="s">
        <v>438</v>
      </c>
      <c r="L45" s="16" t="s">
        <v>3</v>
      </c>
      <c r="M45" s="17" t="s">
        <v>8</v>
      </c>
      <c r="N45" s="13" t="s">
        <v>439</v>
      </c>
    </row>
    <row r="46" customFormat="false" ht="137.3" hidden="false" customHeight="false" outlineLevel="0" collapsed="false">
      <c r="A46" s="12" t="n">
        <v>53</v>
      </c>
      <c r="B46" s="13" t="s">
        <v>440</v>
      </c>
      <c r="C46" s="13" t="s">
        <v>441</v>
      </c>
      <c r="D46" s="13" t="s">
        <v>13</v>
      </c>
      <c r="E46" s="13" t="s">
        <v>442</v>
      </c>
      <c r="F46" s="13" t="s">
        <v>443</v>
      </c>
      <c r="G46" s="13" t="s">
        <v>444</v>
      </c>
      <c r="H46" s="13" t="s">
        <v>445</v>
      </c>
      <c r="I46" s="13" t="s">
        <v>446</v>
      </c>
      <c r="J46" s="13" t="s">
        <v>447</v>
      </c>
      <c r="K46" s="13" t="s">
        <v>448</v>
      </c>
      <c r="L46" s="14" t="s">
        <v>4</v>
      </c>
      <c r="M46" s="17" t="s">
        <v>8</v>
      </c>
      <c r="N46" s="13" t="s">
        <v>449</v>
      </c>
    </row>
    <row r="47" customFormat="false" ht="126.85" hidden="false" customHeight="false" outlineLevel="0" collapsed="false">
      <c r="A47" s="12" t="n">
        <v>54</v>
      </c>
      <c r="B47" s="13" t="s">
        <v>450</v>
      </c>
      <c r="C47" s="13" t="s">
        <v>441</v>
      </c>
      <c r="D47" s="13" t="s">
        <v>13</v>
      </c>
      <c r="E47" s="13" t="s">
        <v>451</v>
      </c>
      <c r="F47" s="13" t="s">
        <v>443</v>
      </c>
      <c r="G47" s="13" t="s">
        <v>444</v>
      </c>
      <c r="H47" s="13" t="s">
        <v>445</v>
      </c>
      <c r="I47" s="13" t="s">
        <v>452</v>
      </c>
      <c r="J47" s="13" t="s">
        <v>453</v>
      </c>
      <c r="K47" s="13" t="s">
        <v>454</v>
      </c>
      <c r="L47" s="14" t="s">
        <v>4</v>
      </c>
      <c r="M47" s="17" t="s">
        <v>8</v>
      </c>
      <c r="N47" s="13" t="s">
        <v>455</v>
      </c>
    </row>
    <row r="48" customFormat="false" ht="137.3" hidden="false" customHeight="false" outlineLevel="0" collapsed="false">
      <c r="A48" s="12" t="n">
        <v>55</v>
      </c>
      <c r="B48" s="13" t="s">
        <v>456</v>
      </c>
      <c r="C48" s="13" t="s">
        <v>457</v>
      </c>
      <c r="D48" s="13" t="s">
        <v>18</v>
      </c>
      <c r="E48" s="13" t="s">
        <v>458</v>
      </c>
      <c r="F48" s="13" t="s">
        <v>459</v>
      </c>
      <c r="G48" s="13" t="s">
        <v>460</v>
      </c>
      <c r="H48" s="13" t="s">
        <v>417</v>
      </c>
      <c r="I48" s="13" t="s">
        <v>461</v>
      </c>
      <c r="J48" s="13" t="s">
        <v>462</v>
      </c>
      <c r="K48" s="13" t="s">
        <v>463</v>
      </c>
      <c r="L48" s="16" t="s">
        <v>3</v>
      </c>
      <c r="M48" s="17" t="s">
        <v>8</v>
      </c>
      <c r="N48" s="13" t="s">
        <v>464</v>
      </c>
    </row>
    <row r="49" customFormat="false" ht="137.3" hidden="false" customHeight="false" outlineLevel="0" collapsed="false">
      <c r="A49" s="12" t="n">
        <v>56</v>
      </c>
      <c r="B49" s="13" t="s">
        <v>465</v>
      </c>
      <c r="C49" s="13" t="s">
        <v>466</v>
      </c>
      <c r="D49" s="13" t="s">
        <v>15</v>
      </c>
      <c r="E49" s="13" t="s">
        <v>467</v>
      </c>
      <c r="F49" s="13" t="s">
        <v>468</v>
      </c>
      <c r="G49" s="13" t="s">
        <v>242</v>
      </c>
      <c r="H49" s="13" t="s">
        <v>469</v>
      </c>
      <c r="I49" s="13" t="s">
        <v>470</v>
      </c>
      <c r="J49" s="13" t="s">
        <v>471</v>
      </c>
      <c r="K49" s="13" t="s">
        <v>472</v>
      </c>
      <c r="L49" s="16" t="s">
        <v>3</v>
      </c>
      <c r="M49" s="17" t="s">
        <v>8</v>
      </c>
      <c r="N49" s="13" t="s">
        <v>473</v>
      </c>
    </row>
    <row r="50" customFormat="false" ht="137.3" hidden="false" customHeight="false" outlineLevel="0" collapsed="false">
      <c r="A50" s="12" t="n">
        <v>57</v>
      </c>
      <c r="B50" s="13" t="s">
        <v>474</v>
      </c>
      <c r="C50" s="13" t="s">
        <v>475</v>
      </c>
      <c r="D50" s="13" t="s">
        <v>12</v>
      </c>
      <c r="E50" s="13" t="s">
        <v>476</v>
      </c>
      <c r="F50" s="13" t="s">
        <v>477</v>
      </c>
      <c r="G50" s="13" t="s">
        <v>478</v>
      </c>
      <c r="H50" s="13" t="s">
        <v>469</v>
      </c>
      <c r="I50" s="13" t="s">
        <v>479</v>
      </c>
      <c r="J50" s="13" t="s">
        <v>480</v>
      </c>
      <c r="K50" s="13" t="s">
        <v>481</v>
      </c>
      <c r="L50" s="16" t="s">
        <v>3</v>
      </c>
      <c r="M50" s="17" t="s">
        <v>8</v>
      </c>
      <c r="N50" s="13" t="s">
        <v>482</v>
      </c>
    </row>
    <row r="51" customFormat="false" ht="137.3" hidden="false" customHeight="false" outlineLevel="0" collapsed="false">
      <c r="A51" s="12" t="n">
        <v>58</v>
      </c>
      <c r="B51" s="13" t="s">
        <v>483</v>
      </c>
      <c r="C51" s="13" t="s">
        <v>484</v>
      </c>
      <c r="D51" s="13" t="s">
        <v>16</v>
      </c>
      <c r="E51" s="13" t="s">
        <v>485</v>
      </c>
      <c r="F51" s="13" t="s">
        <v>486</v>
      </c>
      <c r="G51" s="13" t="s">
        <v>487</v>
      </c>
      <c r="H51" s="13" t="s">
        <v>469</v>
      </c>
      <c r="I51" s="13" t="s">
        <v>488</v>
      </c>
      <c r="J51" s="13" t="s">
        <v>489</v>
      </c>
      <c r="K51" s="13" t="s">
        <v>490</v>
      </c>
      <c r="L51" s="16" t="s">
        <v>3</v>
      </c>
      <c r="M51" s="17" t="s">
        <v>8</v>
      </c>
      <c r="N51" s="13" t="s">
        <v>491</v>
      </c>
    </row>
    <row r="52" customFormat="false" ht="137.3" hidden="false" customHeight="false" outlineLevel="0" collapsed="false">
      <c r="A52" s="12" t="n">
        <v>59</v>
      </c>
      <c r="B52" s="13" t="s">
        <v>492</v>
      </c>
      <c r="C52" s="13" t="s">
        <v>493</v>
      </c>
      <c r="D52" s="13" t="s">
        <v>15</v>
      </c>
      <c r="E52" s="13" t="s">
        <v>494</v>
      </c>
      <c r="F52" s="13" t="s">
        <v>495</v>
      </c>
      <c r="G52" s="13" t="s">
        <v>496</v>
      </c>
      <c r="H52" s="13" t="s">
        <v>497</v>
      </c>
      <c r="I52" s="13" t="s">
        <v>498</v>
      </c>
      <c r="J52" s="13" t="s">
        <v>499</v>
      </c>
      <c r="K52" s="13" t="s">
        <v>500</v>
      </c>
      <c r="L52" s="16" t="s">
        <v>3</v>
      </c>
      <c r="M52" s="17" t="s">
        <v>8</v>
      </c>
      <c r="N52" s="13" t="s">
        <v>501</v>
      </c>
    </row>
    <row r="53" customFormat="false" ht="147.75" hidden="false" customHeight="false" outlineLevel="0" collapsed="false">
      <c r="A53" s="12" t="n">
        <v>61</v>
      </c>
      <c r="B53" s="13" t="s">
        <v>502</v>
      </c>
      <c r="C53" s="13" t="s">
        <v>503</v>
      </c>
      <c r="D53" s="13" t="s">
        <v>13</v>
      </c>
      <c r="E53" s="13" t="s">
        <v>504</v>
      </c>
      <c r="F53" s="13" t="s">
        <v>505</v>
      </c>
      <c r="G53" s="13" t="s">
        <v>506</v>
      </c>
      <c r="H53" s="13" t="s">
        <v>507</v>
      </c>
      <c r="I53" s="13" t="s">
        <v>508</v>
      </c>
      <c r="J53" s="13" t="s">
        <v>509</v>
      </c>
      <c r="K53" s="13" t="s">
        <v>510</v>
      </c>
      <c r="L53" s="16" t="s">
        <v>3</v>
      </c>
      <c r="M53" s="17" t="s">
        <v>8</v>
      </c>
      <c r="N53" s="13" t="s">
        <v>511</v>
      </c>
    </row>
    <row r="54" customFormat="false" ht="126.85" hidden="false" customHeight="false" outlineLevel="0" collapsed="false">
      <c r="A54" s="12" t="n">
        <v>62</v>
      </c>
      <c r="B54" s="13" t="s">
        <v>512</v>
      </c>
      <c r="C54" s="13" t="s">
        <v>513</v>
      </c>
      <c r="D54" s="13" t="s">
        <v>17</v>
      </c>
      <c r="E54" s="13" t="s">
        <v>514</v>
      </c>
      <c r="F54" s="13" t="s">
        <v>515</v>
      </c>
      <c r="G54" s="13" t="s">
        <v>496</v>
      </c>
      <c r="H54" s="13" t="s">
        <v>469</v>
      </c>
      <c r="I54" s="13" t="s">
        <v>516</v>
      </c>
      <c r="J54" s="13" t="s">
        <v>517</v>
      </c>
      <c r="K54" s="13" t="s">
        <v>518</v>
      </c>
      <c r="L54" s="16" t="s">
        <v>3</v>
      </c>
      <c r="M54" s="17" t="s">
        <v>8</v>
      </c>
      <c r="N54" s="13" t="s">
        <v>519</v>
      </c>
    </row>
    <row r="55" customFormat="false" ht="126.85" hidden="false" customHeight="false" outlineLevel="0" collapsed="false">
      <c r="A55" s="12" t="n">
        <v>63</v>
      </c>
      <c r="B55" s="13" t="s">
        <v>520</v>
      </c>
      <c r="C55" s="13" t="s">
        <v>521</v>
      </c>
      <c r="D55" s="13" t="s">
        <v>17</v>
      </c>
      <c r="E55" s="13" t="s">
        <v>522</v>
      </c>
      <c r="F55" s="13" t="s">
        <v>523</v>
      </c>
      <c r="G55" s="13" t="s">
        <v>496</v>
      </c>
      <c r="H55" s="13" t="s">
        <v>469</v>
      </c>
      <c r="I55" s="13" t="s">
        <v>524</v>
      </c>
      <c r="J55" s="13" t="s">
        <v>525</v>
      </c>
      <c r="K55" s="13" t="s">
        <v>526</v>
      </c>
      <c r="L55" s="16" t="s">
        <v>3</v>
      </c>
      <c r="M55" s="17" t="s">
        <v>8</v>
      </c>
      <c r="N55" s="13" t="s">
        <v>527</v>
      </c>
    </row>
    <row r="56" customFormat="false" ht="147.75" hidden="false" customHeight="false" outlineLevel="0" collapsed="false">
      <c r="A56" s="12" t="n">
        <v>64</v>
      </c>
      <c r="B56" s="13" t="s">
        <v>528</v>
      </c>
      <c r="C56" s="13" t="s">
        <v>529</v>
      </c>
      <c r="D56" s="13" t="s">
        <v>15</v>
      </c>
      <c r="E56" s="13" t="s">
        <v>530</v>
      </c>
      <c r="F56" s="13" t="s">
        <v>531</v>
      </c>
      <c r="G56" s="13" t="s">
        <v>532</v>
      </c>
      <c r="H56" s="13" t="s">
        <v>533</v>
      </c>
      <c r="I56" s="13" t="s">
        <v>534</v>
      </c>
      <c r="J56" s="13" t="s">
        <v>535</v>
      </c>
      <c r="K56" s="13" t="s">
        <v>536</v>
      </c>
      <c r="L56" s="16" t="s">
        <v>3</v>
      </c>
      <c r="M56" s="15" t="s">
        <v>9</v>
      </c>
      <c r="N56" s="13" t="s">
        <v>537</v>
      </c>
    </row>
    <row r="57" customFormat="false" ht="199.95" hidden="false" customHeight="false" outlineLevel="0" collapsed="false">
      <c r="A57" s="12" t="n">
        <v>65</v>
      </c>
      <c r="B57" s="13" t="s">
        <v>538</v>
      </c>
      <c r="C57" s="13" t="s">
        <v>539</v>
      </c>
      <c r="D57" s="13" t="s">
        <v>16</v>
      </c>
      <c r="E57" s="13" t="s">
        <v>540</v>
      </c>
      <c r="F57" s="13" t="s">
        <v>541</v>
      </c>
      <c r="G57" s="13" t="s">
        <v>542</v>
      </c>
      <c r="H57" s="13" t="s">
        <v>543</v>
      </c>
      <c r="I57" s="13" t="s">
        <v>544</v>
      </c>
      <c r="J57" s="13" t="s">
        <v>545</v>
      </c>
      <c r="K57" s="13" t="s">
        <v>546</v>
      </c>
      <c r="L57" s="16" t="s">
        <v>3</v>
      </c>
      <c r="M57" s="15" t="s">
        <v>9</v>
      </c>
      <c r="N57" s="13" t="s">
        <v>547</v>
      </c>
    </row>
    <row r="58" customFormat="false" ht="137.3" hidden="false" customHeight="false" outlineLevel="0" collapsed="false">
      <c r="A58" s="12" t="n">
        <v>66</v>
      </c>
      <c r="B58" s="13" t="s">
        <v>548</v>
      </c>
      <c r="C58" s="13" t="s">
        <v>549</v>
      </c>
      <c r="D58" s="13" t="s">
        <v>19</v>
      </c>
      <c r="E58" s="13" t="s">
        <v>550</v>
      </c>
      <c r="F58" s="13" t="s">
        <v>551</v>
      </c>
      <c r="G58" s="13" t="s">
        <v>388</v>
      </c>
      <c r="H58" s="13" t="s">
        <v>552</v>
      </c>
      <c r="I58" s="13" t="s">
        <v>553</v>
      </c>
      <c r="J58" s="13" t="s">
        <v>554</v>
      </c>
      <c r="K58" s="13" t="s">
        <v>555</v>
      </c>
      <c r="L58" s="16" t="s">
        <v>3</v>
      </c>
      <c r="M58" s="17" t="s">
        <v>8</v>
      </c>
      <c r="N58" s="13" t="s">
        <v>556</v>
      </c>
    </row>
    <row r="59" customFormat="false" ht="116.4" hidden="false" customHeight="false" outlineLevel="0" collapsed="false">
      <c r="A59" s="12" t="n">
        <v>67</v>
      </c>
      <c r="B59" s="13" t="s">
        <v>557</v>
      </c>
      <c r="C59" s="13" t="s">
        <v>558</v>
      </c>
      <c r="D59" s="13" t="s">
        <v>16</v>
      </c>
      <c r="E59" s="13" t="s">
        <v>559</v>
      </c>
      <c r="F59" s="13" t="s">
        <v>560</v>
      </c>
      <c r="G59" s="13" t="s">
        <v>561</v>
      </c>
      <c r="H59" s="13" t="s">
        <v>562</v>
      </c>
      <c r="I59" s="13" t="s">
        <v>563</v>
      </c>
      <c r="J59" s="13" t="s">
        <v>564</v>
      </c>
      <c r="K59" s="13" t="s">
        <v>565</v>
      </c>
      <c r="L59" s="16" t="s">
        <v>3</v>
      </c>
      <c r="M59" s="17" t="s">
        <v>8</v>
      </c>
      <c r="N59" s="13" t="s">
        <v>566</v>
      </c>
    </row>
    <row r="60" customFormat="false" ht="105.95" hidden="false" customHeight="false" outlineLevel="0" collapsed="false">
      <c r="A60" s="12" t="n">
        <v>68</v>
      </c>
      <c r="B60" s="13" t="s">
        <v>567</v>
      </c>
      <c r="C60" s="13" t="s">
        <v>568</v>
      </c>
      <c r="D60" s="13" t="s">
        <v>16</v>
      </c>
      <c r="E60" s="13" t="s">
        <v>569</v>
      </c>
      <c r="F60" s="13" t="s">
        <v>570</v>
      </c>
      <c r="G60" s="13" t="s">
        <v>561</v>
      </c>
      <c r="H60" s="13" t="s">
        <v>562</v>
      </c>
      <c r="I60" s="13" t="s">
        <v>571</v>
      </c>
      <c r="J60" s="13" t="s">
        <v>572</v>
      </c>
      <c r="K60" s="13" t="s">
        <v>573</v>
      </c>
      <c r="L60" s="16" t="s">
        <v>3</v>
      </c>
      <c r="M60" s="17" t="s">
        <v>8</v>
      </c>
      <c r="N60" s="13" t="s">
        <v>574</v>
      </c>
    </row>
    <row r="61" customFormat="false" ht="158.2" hidden="false" customHeight="false" outlineLevel="0" collapsed="false">
      <c r="A61" s="12" t="n">
        <v>78</v>
      </c>
      <c r="B61" s="13" t="s">
        <v>575</v>
      </c>
      <c r="C61" s="13" t="s">
        <v>576</v>
      </c>
      <c r="D61" s="13" t="s">
        <v>17</v>
      </c>
      <c r="E61" s="13" t="s">
        <v>577</v>
      </c>
      <c r="F61" s="13" t="s">
        <v>578</v>
      </c>
      <c r="G61" s="13" t="s">
        <v>579</v>
      </c>
      <c r="H61" s="13" t="s">
        <v>580</v>
      </c>
      <c r="I61" s="13" t="s">
        <v>581</v>
      </c>
      <c r="J61" s="13" t="s">
        <v>582</v>
      </c>
      <c r="K61" s="13" t="s">
        <v>583</v>
      </c>
      <c r="L61" s="16" t="s">
        <v>3</v>
      </c>
      <c r="M61" s="17" t="s">
        <v>8</v>
      </c>
      <c r="N61" s="13" t="s">
        <v>584</v>
      </c>
    </row>
    <row r="62" customFormat="false" ht="137.3" hidden="false" customHeight="false" outlineLevel="0" collapsed="false">
      <c r="A62" s="12" t="n">
        <v>79</v>
      </c>
      <c r="B62" s="13" t="s">
        <v>585</v>
      </c>
      <c r="C62" s="13" t="s">
        <v>586</v>
      </c>
      <c r="D62" s="13" t="s">
        <v>13</v>
      </c>
      <c r="E62" s="13" t="s">
        <v>587</v>
      </c>
      <c r="F62" s="13" t="s">
        <v>588</v>
      </c>
      <c r="G62" s="13" t="s">
        <v>589</v>
      </c>
      <c r="H62" s="13" t="s">
        <v>590</v>
      </c>
      <c r="I62" s="13" t="s">
        <v>591</v>
      </c>
      <c r="J62" s="13" t="s">
        <v>592</v>
      </c>
      <c r="K62" s="13" t="s">
        <v>593</v>
      </c>
      <c r="L62" s="16" t="s">
        <v>3</v>
      </c>
      <c r="M62" s="17" t="s">
        <v>8</v>
      </c>
      <c r="N62" s="13" t="s">
        <v>594</v>
      </c>
    </row>
    <row r="63" customFormat="false" ht="147.75" hidden="false" customHeight="false" outlineLevel="0" collapsed="false">
      <c r="A63" s="12" t="n">
        <v>80</v>
      </c>
      <c r="B63" s="13" t="s">
        <v>595</v>
      </c>
      <c r="C63" s="13" t="s">
        <v>596</v>
      </c>
      <c r="D63" s="13" t="s">
        <v>16</v>
      </c>
      <c r="E63" s="13" t="s">
        <v>597</v>
      </c>
      <c r="F63" s="13" t="s">
        <v>598</v>
      </c>
      <c r="G63" s="13" t="s">
        <v>599</v>
      </c>
      <c r="H63" s="13" t="s">
        <v>600</v>
      </c>
      <c r="I63" s="13" t="s">
        <v>601</v>
      </c>
      <c r="J63" s="13" t="s">
        <v>602</v>
      </c>
      <c r="K63" s="13" t="s">
        <v>603</v>
      </c>
      <c r="L63" s="16" t="s">
        <v>3</v>
      </c>
      <c r="M63" s="15" t="s">
        <v>9</v>
      </c>
      <c r="N63" s="13" t="s">
        <v>604</v>
      </c>
    </row>
    <row r="64" customFormat="false" ht="147.75" hidden="false" customHeight="false" outlineLevel="0" collapsed="false">
      <c r="A64" s="12" t="n">
        <v>81</v>
      </c>
      <c r="B64" s="13" t="s">
        <v>605</v>
      </c>
      <c r="C64" s="13" t="s">
        <v>596</v>
      </c>
      <c r="D64" s="13" t="s">
        <v>16</v>
      </c>
      <c r="E64" s="13" t="s">
        <v>606</v>
      </c>
      <c r="F64" s="13" t="s">
        <v>607</v>
      </c>
      <c r="G64" s="13" t="s">
        <v>599</v>
      </c>
      <c r="H64" s="13" t="s">
        <v>608</v>
      </c>
      <c r="I64" s="13" t="s">
        <v>609</v>
      </c>
      <c r="J64" s="13" t="s">
        <v>610</v>
      </c>
      <c r="K64" s="13" t="s">
        <v>611</v>
      </c>
      <c r="L64" s="16" t="s">
        <v>3</v>
      </c>
      <c r="M64" s="15" t="s">
        <v>9</v>
      </c>
      <c r="N64" s="13" t="s">
        <v>612</v>
      </c>
    </row>
    <row r="65" customFormat="false" ht="147.75" hidden="false" customHeight="false" outlineLevel="0" collapsed="false">
      <c r="A65" s="12" t="n">
        <v>82</v>
      </c>
      <c r="B65" s="13" t="s">
        <v>613</v>
      </c>
      <c r="C65" s="13" t="s">
        <v>614</v>
      </c>
      <c r="D65" s="13" t="s">
        <v>15</v>
      </c>
      <c r="E65" s="13" t="s">
        <v>615</v>
      </c>
      <c r="F65" s="13" t="s">
        <v>616</v>
      </c>
      <c r="G65" s="13" t="s">
        <v>617</v>
      </c>
      <c r="H65" s="13" t="s">
        <v>618</v>
      </c>
      <c r="I65" s="13" t="s">
        <v>619</v>
      </c>
      <c r="J65" s="13" t="s">
        <v>620</v>
      </c>
      <c r="K65" s="13" t="s">
        <v>621</v>
      </c>
      <c r="L65" s="16" t="s">
        <v>3</v>
      </c>
      <c r="M65" s="15" t="s">
        <v>9</v>
      </c>
      <c r="N65" s="13" t="s">
        <v>622</v>
      </c>
    </row>
    <row r="66" customFormat="false" ht="147.75" hidden="false" customHeight="false" outlineLevel="0" collapsed="false">
      <c r="A66" s="12" t="n">
        <v>83</v>
      </c>
      <c r="B66" s="13" t="s">
        <v>623</v>
      </c>
      <c r="C66" s="13" t="s">
        <v>624</v>
      </c>
      <c r="D66" s="13" t="s">
        <v>16</v>
      </c>
      <c r="E66" s="13" t="s">
        <v>625</v>
      </c>
      <c r="F66" s="13" t="s">
        <v>626</v>
      </c>
      <c r="G66" s="13" t="s">
        <v>627</v>
      </c>
      <c r="H66" s="13" t="s">
        <v>628</v>
      </c>
      <c r="I66" s="13" t="s">
        <v>629</v>
      </c>
      <c r="J66" s="13" t="s">
        <v>630</v>
      </c>
      <c r="K66" s="13" t="s">
        <v>631</v>
      </c>
      <c r="L66" s="16" t="s">
        <v>3</v>
      </c>
      <c r="M66" s="15" t="s">
        <v>9</v>
      </c>
      <c r="N66" s="13" t="s">
        <v>632</v>
      </c>
    </row>
    <row r="67" customFormat="false" ht="147.75" hidden="false" customHeight="false" outlineLevel="0" collapsed="false">
      <c r="A67" s="12" t="n">
        <v>84</v>
      </c>
      <c r="B67" s="13" t="s">
        <v>633</v>
      </c>
      <c r="C67" s="13" t="s">
        <v>634</v>
      </c>
      <c r="D67" s="13" t="s">
        <v>17</v>
      </c>
      <c r="E67" s="13" t="s">
        <v>635</v>
      </c>
      <c r="F67" s="13" t="s">
        <v>636</v>
      </c>
      <c r="G67" s="13" t="s">
        <v>637</v>
      </c>
      <c r="H67" s="13" t="s">
        <v>638</v>
      </c>
      <c r="I67" s="13" t="s">
        <v>639</v>
      </c>
      <c r="J67" s="13" t="s">
        <v>640</v>
      </c>
      <c r="K67" s="13" t="s">
        <v>641</v>
      </c>
      <c r="L67" s="16" t="s">
        <v>3</v>
      </c>
      <c r="M67" s="17" t="s">
        <v>8</v>
      </c>
      <c r="N67" s="13" t="s">
        <v>642</v>
      </c>
    </row>
    <row r="68" customFormat="false" ht="168.65" hidden="false" customHeight="false" outlineLevel="0" collapsed="false">
      <c r="A68" s="12" t="n">
        <v>85</v>
      </c>
      <c r="B68" s="13" t="s">
        <v>643</v>
      </c>
      <c r="C68" s="13" t="s">
        <v>644</v>
      </c>
      <c r="D68" s="13" t="s">
        <v>14</v>
      </c>
      <c r="E68" s="13" t="s">
        <v>645</v>
      </c>
      <c r="F68" s="13" t="s">
        <v>646</v>
      </c>
      <c r="G68" s="13" t="s">
        <v>647</v>
      </c>
      <c r="H68" s="13" t="s">
        <v>648</v>
      </c>
      <c r="I68" s="13" t="s">
        <v>649</v>
      </c>
      <c r="J68" s="13" t="s">
        <v>650</v>
      </c>
      <c r="K68" s="13" t="s">
        <v>651</v>
      </c>
      <c r="L68" s="16" t="s">
        <v>3</v>
      </c>
      <c r="M68" s="17" t="s">
        <v>8</v>
      </c>
      <c r="N68" s="13" t="s">
        <v>652</v>
      </c>
    </row>
    <row r="69" customFormat="false" ht="158.2" hidden="false" customHeight="false" outlineLevel="0" collapsed="false">
      <c r="A69" s="12" t="n">
        <v>86</v>
      </c>
      <c r="B69" s="13" t="s">
        <v>653</v>
      </c>
      <c r="C69" s="13" t="s">
        <v>654</v>
      </c>
      <c r="D69" s="13" t="s">
        <v>19</v>
      </c>
      <c r="E69" s="13" t="s">
        <v>655</v>
      </c>
      <c r="F69" s="13" t="s">
        <v>656</v>
      </c>
      <c r="G69" s="13" t="s">
        <v>657</v>
      </c>
      <c r="H69" s="13" t="s">
        <v>658</v>
      </c>
      <c r="I69" s="13" t="s">
        <v>659</v>
      </c>
      <c r="J69" s="13" t="s">
        <v>660</v>
      </c>
      <c r="K69" s="13" t="s">
        <v>661</v>
      </c>
      <c r="L69" s="16" t="s">
        <v>3</v>
      </c>
      <c r="M69" s="17" t="s">
        <v>8</v>
      </c>
      <c r="N69" s="13" t="s">
        <v>662</v>
      </c>
    </row>
    <row r="70" customFormat="false" ht="168.65" hidden="false" customHeight="false" outlineLevel="0" collapsed="false">
      <c r="A70" s="12" t="n">
        <v>87</v>
      </c>
      <c r="B70" s="13" t="s">
        <v>663</v>
      </c>
      <c r="C70" s="13" t="s">
        <v>664</v>
      </c>
      <c r="D70" s="13" t="s">
        <v>18</v>
      </c>
      <c r="E70" s="13" t="s">
        <v>665</v>
      </c>
      <c r="F70" s="13" t="s">
        <v>666</v>
      </c>
      <c r="G70" s="13" t="s">
        <v>667</v>
      </c>
      <c r="H70" s="13" t="s">
        <v>668</v>
      </c>
      <c r="I70" s="13" t="s">
        <v>669</v>
      </c>
      <c r="J70" s="13" t="s">
        <v>670</v>
      </c>
      <c r="K70" s="13" t="s">
        <v>671</v>
      </c>
      <c r="L70" s="16" t="s">
        <v>3</v>
      </c>
      <c r="M70" s="15" t="s">
        <v>9</v>
      </c>
      <c r="N70" s="13" t="s">
        <v>672</v>
      </c>
    </row>
    <row r="71" customFormat="false" ht="168.65" hidden="false" customHeight="false" outlineLevel="0" collapsed="false">
      <c r="A71" s="12" t="n">
        <v>88</v>
      </c>
      <c r="B71" s="13" t="s">
        <v>673</v>
      </c>
      <c r="C71" s="13" t="s">
        <v>674</v>
      </c>
      <c r="D71" s="13" t="s">
        <v>19</v>
      </c>
      <c r="E71" s="13" t="s">
        <v>675</v>
      </c>
      <c r="F71" s="13" t="s">
        <v>676</v>
      </c>
      <c r="G71" s="13" t="s">
        <v>677</v>
      </c>
      <c r="H71" s="13" t="s">
        <v>678</v>
      </c>
      <c r="I71" s="13" t="s">
        <v>679</v>
      </c>
      <c r="J71" s="13" t="s">
        <v>680</v>
      </c>
      <c r="K71" s="13" t="s">
        <v>681</v>
      </c>
      <c r="L71" s="16" t="s">
        <v>3</v>
      </c>
      <c r="M71" s="15" t="s">
        <v>9</v>
      </c>
      <c r="N71" s="13" t="s">
        <v>682</v>
      </c>
    </row>
    <row r="72" customFormat="false" ht="147.75" hidden="false" customHeight="false" outlineLevel="0" collapsed="false">
      <c r="A72" s="12" t="n">
        <v>89</v>
      </c>
      <c r="B72" s="13" t="s">
        <v>683</v>
      </c>
      <c r="C72" s="13" t="s">
        <v>684</v>
      </c>
      <c r="D72" s="13" t="s">
        <v>12</v>
      </c>
      <c r="E72" s="13" t="s">
        <v>685</v>
      </c>
      <c r="F72" s="13" t="s">
        <v>686</v>
      </c>
      <c r="G72" s="13" t="s">
        <v>687</v>
      </c>
      <c r="H72" s="13" t="s">
        <v>688</v>
      </c>
      <c r="I72" s="13" t="s">
        <v>689</v>
      </c>
      <c r="J72" s="13" t="s">
        <v>690</v>
      </c>
      <c r="K72" s="13" t="s">
        <v>691</v>
      </c>
      <c r="L72" s="16" t="s">
        <v>3</v>
      </c>
      <c r="M72" s="17" t="s">
        <v>8</v>
      </c>
      <c r="N72" s="13" t="s">
        <v>692</v>
      </c>
    </row>
    <row r="73" customFormat="false" ht="158.2" hidden="false" customHeight="false" outlineLevel="0" collapsed="false">
      <c r="A73" s="12" t="n">
        <v>90</v>
      </c>
      <c r="B73" s="13" t="s">
        <v>693</v>
      </c>
      <c r="C73" s="13" t="s">
        <v>694</v>
      </c>
      <c r="D73" s="13" t="s">
        <v>16</v>
      </c>
      <c r="E73" s="13" t="s">
        <v>695</v>
      </c>
      <c r="F73" s="13" t="s">
        <v>696</v>
      </c>
      <c r="G73" s="13" t="s">
        <v>697</v>
      </c>
      <c r="H73" s="13" t="s">
        <v>698</v>
      </c>
      <c r="I73" s="13" t="s">
        <v>699</v>
      </c>
      <c r="J73" s="13" t="s">
        <v>700</v>
      </c>
      <c r="K73" s="13" t="s">
        <v>701</v>
      </c>
      <c r="L73" s="16" t="s">
        <v>3</v>
      </c>
      <c r="M73" s="17" t="s">
        <v>8</v>
      </c>
      <c r="N73" s="13" t="s">
        <v>702</v>
      </c>
    </row>
    <row r="74" customFormat="false" ht="126.85" hidden="false" customHeight="false" outlineLevel="0" collapsed="false">
      <c r="A74" s="12" t="n">
        <v>93</v>
      </c>
      <c r="B74" s="13" t="s">
        <v>703</v>
      </c>
      <c r="C74" s="13" t="s">
        <v>704</v>
      </c>
      <c r="D74" s="13" t="s">
        <v>18</v>
      </c>
      <c r="E74" s="13" t="s">
        <v>705</v>
      </c>
      <c r="F74" s="13" t="s">
        <v>706</v>
      </c>
      <c r="G74" s="13" t="s">
        <v>444</v>
      </c>
      <c r="H74" s="13" t="s">
        <v>707</v>
      </c>
      <c r="I74" s="13" t="s">
        <v>708</v>
      </c>
      <c r="J74" s="13" t="s">
        <v>709</v>
      </c>
      <c r="K74" s="13" t="s">
        <v>710</v>
      </c>
      <c r="L74" s="16" t="s">
        <v>3</v>
      </c>
      <c r="M74" s="15" t="s">
        <v>9</v>
      </c>
      <c r="N74" s="13" t="s">
        <v>711</v>
      </c>
    </row>
    <row r="75" customFormat="false" ht="116.4" hidden="false" customHeight="false" outlineLevel="0" collapsed="false">
      <c r="A75" s="12" t="n">
        <v>94</v>
      </c>
      <c r="B75" s="13" t="s">
        <v>712</v>
      </c>
      <c r="C75" s="13" t="s">
        <v>713</v>
      </c>
      <c r="D75" s="13" t="s">
        <v>15</v>
      </c>
      <c r="E75" s="13" t="s">
        <v>714</v>
      </c>
      <c r="F75" s="13" t="s">
        <v>715</v>
      </c>
      <c r="G75" s="13" t="s">
        <v>716</v>
      </c>
      <c r="H75" s="13" t="s">
        <v>717</v>
      </c>
      <c r="I75" s="13" t="s">
        <v>718</v>
      </c>
      <c r="J75" s="13" t="s">
        <v>719</v>
      </c>
      <c r="K75" s="13" t="s">
        <v>720</v>
      </c>
      <c r="L75" s="16" t="s">
        <v>3</v>
      </c>
      <c r="M75" s="17" t="s">
        <v>8</v>
      </c>
      <c r="N75" s="13" t="s">
        <v>721</v>
      </c>
    </row>
    <row r="76" customFormat="false" ht="116.4" hidden="false" customHeight="false" outlineLevel="0" collapsed="false">
      <c r="A76" s="12" t="n">
        <v>95</v>
      </c>
      <c r="B76" s="13" t="s">
        <v>722</v>
      </c>
      <c r="C76" s="13" t="s">
        <v>723</v>
      </c>
      <c r="D76" s="13" t="s">
        <v>16</v>
      </c>
      <c r="E76" s="13" t="s">
        <v>724</v>
      </c>
      <c r="F76" s="13" t="s">
        <v>725</v>
      </c>
      <c r="G76" s="13" t="s">
        <v>726</v>
      </c>
      <c r="H76" s="13" t="s">
        <v>727</v>
      </c>
      <c r="I76" s="13" t="s">
        <v>728</v>
      </c>
      <c r="J76" s="13" t="s">
        <v>729</v>
      </c>
      <c r="K76" s="13" t="s">
        <v>730</v>
      </c>
      <c r="L76" s="16" t="s">
        <v>3</v>
      </c>
      <c r="M76" s="15" t="s">
        <v>9</v>
      </c>
      <c r="N76" s="13" t="s">
        <v>731</v>
      </c>
    </row>
    <row r="77" customFormat="false" ht="105.95" hidden="false" customHeight="false" outlineLevel="0" collapsed="false">
      <c r="A77" s="12" t="n">
        <v>96</v>
      </c>
      <c r="B77" s="13" t="s">
        <v>732</v>
      </c>
      <c r="C77" s="13" t="s">
        <v>733</v>
      </c>
      <c r="D77" s="13" t="s">
        <v>15</v>
      </c>
      <c r="E77" s="13" t="s">
        <v>734</v>
      </c>
      <c r="F77" s="13" t="s">
        <v>735</v>
      </c>
      <c r="G77" s="13" t="s">
        <v>716</v>
      </c>
      <c r="H77" s="13" t="s">
        <v>736</v>
      </c>
      <c r="I77" s="13" t="s">
        <v>737</v>
      </c>
      <c r="J77" s="13" t="s">
        <v>738</v>
      </c>
      <c r="K77" s="13" t="s">
        <v>739</v>
      </c>
      <c r="L77" s="16" t="s">
        <v>3</v>
      </c>
      <c r="M77" s="17" t="s">
        <v>8</v>
      </c>
      <c r="N77" s="13" t="s">
        <v>740</v>
      </c>
    </row>
    <row r="78" customFormat="false" ht="116.4" hidden="false" customHeight="false" outlineLevel="0" collapsed="false">
      <c r="A78" s="12" t="n">
        <v>97</v>
      </c>
      <c r="B78" s="13" t="s">
        <v>741</v>
      </c>
      <c r="C78" s="13" t="s">
        <v>742</v>
      </c>
      <c r="D78" s="13" t="s">
        <v>15</v>
      </c>
      <c r="E78" s="13" t="s">
        <v>743</v>
      </c>
      <c r="F78" s="13" t="s">
        <v>744</v>
      </c>
      <c r="G78" s="13" t="s">
        <v>745</v>
      </c>
      <c r="H78" s="13" t="s">
        <v>746</v>
      </c>
      <c r="I78" s="13" t="s">
        <v>747</v>
      </c>
      <c r="J78" s="13" t="s">
        <v>748</v>
      </c>
      <c r="K78" s="13" t="s">
        <v>749</v>
      </c>
      <c r="L78" s="16" t="s">
        <v>3</v>
      </c>
      <c r="M78" s="17" t="s">
        <v>8</v>
      </c>
      <c r="N78" s="13" t="s">
        <v>750</v>
      </c>
    </row>
    <row r="79" customFormat="false" ht="105.95" hidden="false" customHeight="false" outlineLevel="0" collapsed="false">
      <c r="A79" s="12" t="n">
        <v>98</v>
      </c>
      <c r="B79" s="13" t="s">
        <v>751</v>
      </c>
      <c r="C79" s="13" t="s">
        <v>752</v>
      </c>
      <c r="D79" s="13" t="s">
        <v>16</v>
      </c>
      <c r="E79" s="13" t="s">
        <v>753</v>
      </c>
      <c r="F79" s="13" t="s">
        <v>754</v>
      </c>
      <c r="G79" s="13" t="s">
        <v>726</v>
      </c>
      <c r="H79" s="13" t="s">
        <v>755</v>
      </c>
      <c r="I79" s="13" t="s">
        <v>756</v>
      </c>
      <c r="J79" s="13" t="s">
        <v>757</v>
      </c>
      <c r="K79" s="13" t="s">
        <v>758</v>
      </c>
      <c r="L79" s="16" t="s">
        <v>3</v>
      </c>
      <c r="M79" s="17" t="s">
        <v>8</v>
      </c>
      <c r="N79" s="13" t="s">
        <v>759</v>
      </c>
    </row>
    <row r="80" customFormat="false" ht="105.95" hidden="false" customHeight="false" outlineLevel="0" collapsed="false">
      <c r="A80" s="12" t="n">
        <v>99</v>
      </c>
      <c r="B80" s="13" t="s">
        <v>760</v>
      </c>
      <c r="C80" s="13" t="s">
        <v>761</v>
      </c>
      <c r="D80" s="13" t="s">
        <v>18</v>
      </c>
      <c r="E80" s="13" t="s">
        <v>762</v>
      </c>
      <c r="F80" s="13" t="s">
        <v>763</v>
      </c>
      <c r="G80" s="13" t="s">
        <v>716</v>
      </c>
      <c r="H80" s="13" t="s">
        <v>764</v>
      </c>
      <c r="I80" s="13" t="s">
        <v>765</v>
      </c>
      <c r="J80" s="13" t="s">
        <v>766</v>
      </c>
      <c r="K80" s="13" t="s">
        <v>767</v>
      </c>
      <c r="L80" s="16" t="s">
        <v>3</v>
      </c>
      <c r="M80" s="17" t="s">
        <v>8</v>
      </c>
      <c r="N80" s="13" t="s">
        <v>768</v>
      </c>
    </row>
    <row r="81" customFormat="false" ht="137.3" hidden="false" customHeight="false" outlineLevel="0" collapsed="false">
      <c r="A81" s="12" t="n">
        <v>100</v>
      </c>
      <c r="B81" s="13" t="s">
        <v>769</v>
      </c>
      <c r="C81" s="13" t="s">
        <v>770</v>
      </c>
      <c r="D81" s="13" t="s">
        <v>18</v>
      </c>
      <c r="E81" s="13" t="s">
        <v>771</v>
      </c>
      <c r="F81" s="13" t="s">
        <v>772</v>
      </c>
      <c r="G81" s="13" t="s">
        <v>773</v>
      </c>
      <c r="H81" s="13" t="s">
        <v>774</v>
      </c>
      <c r="I81" s="13" t="s">
        <v>775</v>
      </c>
      <c r="J81" s="13" t="s">
        <v>776</v>
      </c>
      <c r="K81" s="13" t="s">
        <v>777</v>
      </c>
      <c r="L81" s="16" t="s">
        <v>3</v>
      </c>
      <c r="M81" s="15" t="s">
        <v>9</v>
      </c>
      <c r="N81" s="13" t="s">
        <v>778</v>
      </c>
    </row>
    <row r="82" customFormat="false" ht="168.65" hidden="false" customHeight="false" outlineLevel="0" collapsed="false">
      <c r="A82" s="12" t="n">
        <v>101</v>
      </c>
      <c r="B82" s="13" t="s">
        <v>779</v>
      </c>
      <c r="C82" s="13" t="s">
        <v>780</v>
      </c>
      <c r="D82" s="13" t="s">
        <v>15</v>
      </c>
      <c r="E82" s="13" t="s">
        <v>781</v>
      </c>
      <c r="F82" s="13" t="s">
        <v>782</v>
      </c>
      <c r="G82" s="13" t="s">
        <v>783</v>
      </c>
      <c r="H82" s="13" t="s">
        <v>784</v>
      </c>
      <c r="I82" s="13" t="s">
        <v>785</v>
      </c>
      <c r="J82" s="13" t="s">
        <v>786</v>
      </c>
      <c r="K82" s="13" t="s">
        <v>787</v>
      </c>
      <c r="L82" s="16" t="s">
        <v>3</v>
      </c>
      <c r="M82" s="15" t="s">
        <v>9</v>
      </c>
      <c r="N82" s="13" t="s">
        <v>788</v>
      </c>
    </row>
    <row r="83" customFormat="false" ht="147.75" hidden="false" customHeight="false" outlineLevel="0" collapsed="false">
      <c r="A83" s="12" t="n">
        <v>102</v>
      </c>
      <c r="B83" s="13" t="s">
        <v>789</v>
      </c>
      <c r="C83" s="13" t="s">
        <v>790</v>
      </c>
      <c r="D83" s="13" t="s">
        <v>18</v>
      </c>
      <c r="E83" s="13" t="s">
        <v>791</v>
      </c>
      <c r="F83" s="13" t="s">
        <v>792</v>
      </c>
      <c r="G83" s="13" t="s">
        <v>561</v>
      </c>
      <c r="H83" s="13" t="s">
        <v>793</v>
      </c>
      <c r="I83" s="13" t="s">
        <v>794</v>
      </c>
      <c r="J83" s="13" t="s">
        <v>795</v>
      </c>
      <c r="K83" s="13" t="s">
        <v>796</v>
      </c>
      <c r="L83" s="16" t="s">
        <v>3</v>
      </c>
      <c r="M83" s="17" t="s">
        <v>8</v>
      </c>
      <c r="N83" s="13" t="s">
        <v>797</v>
      </c>
    </row>
    <row r="84" customFormat="false" ht="137.3" hidden="false" customHeight="false" outlineLevel="0" collapsed="false">
      <c r="A84" s="12" t="n">
        <v>103</v>
      </c>
      <c r="B84" s="13" t="s">
        <v>798</v>
      </c>
      <c r="C84" s="13" t="s">
        <v>799</v>
      </c>
      <c r="D84" s="13" t="s">
        <v>16</v>
      </c>
      <c r="E84" s="13" t="s">
        <v>800</v>
      </c>
      <c r="F84" s="13" t="s">
        <v>801</v>
      </c>
      <c r="G84" s="13" t="s">
        <v>802</v>
      </c>
      <c r="H84" s="13" t="s">
        <v>803</v>
      </c>
      <c r="I84" s="13" t="s">
        <v>804</v>
      </c>
      <c r="J84" s="13" t="s">
        <v>805</v>
      </c>
      <c r="K84" s="13" t="s">
        <v>806</v>
      </c>
      <c r="L84" s="16" t="s">
        <v>3</v>
      </c>
      <c r="M84" s="15" t="s">
        <v>9</v>
      </c>
      <c r="N84" s="13" t="s">
        <v>807</v>
      </c>
    </row>
    <row r="85" customFormat="false" ht="158.2" hidden="false" customHeight="false" outlineLevel="0" collapsed="false">
      <c r="A85" s="12" t="n">
        <v>104</v>
      </c>
      <c r="B85" s="13" t="s">
        <v>808</v>
      </c>
      <c r="C85" s="13" t="s">
        <v>809</v>
      </c>
      <c r="D85" s="13" t="s">
        <v>15</v>
      </c>
      <c r="E85" s="13" t="s">
        <v>810</v>
      </c>
      <c r="F85" s="13" t="s">
        <v>811</v>
      </c>
      <c r="G85" s="13" t="s">
        <v>812</v>
      </c>
      <c r="H85" s="13" t="s">
        <v>813</v>
      </c>
      <c r="I85" s="13" t="s">
        <v>814</v>
      </c>
      <c r="J85" s="13" t="s">
        <v>815</v>
      </c>
      <c r="K85" s="13" t="s">
        <v>816</v>
      </c>
      <c r="L85" s="16" t="s">
        <v>3</v>
      </c>
      <c r="M85" s="17" t="s">
        <v>8</v>
      </c>
      <c r="N85" s="13" t="s">
        <v>817</v>
      </c>
    </row>
    <row r="86" customFormat="false" ht="147.75" hidden="false" customHeight="false" outlineLevel="0" collapsed="false">
      <c r="A86" s="12" t="n">
        <v>105</v>
      </c>
      <c r="B86" s="13" t="s">
        <v>818</v>
      </c>
      <c r="C86" s="13" t="s">
        <v>819</v>
      </c>
      <c r="D86" s="13" t="s">
        <v>12</v>
      </c>
      <c r="E86" s="13" t="s">
        <v>820</v>
      </c>
      <c r="F86" s="13" t="s">
        <v>821</v>
      </c>
      <c r="G86" s="13" t="s">
        <v>561</v>
      </c>
      <c r="H86" s="13" t="s">
        <v>822</v>
      </c>
      <c r="I86" s="13" t="s">
        <v>823</v>
      </c>
      <c r="J86" s="13" t="s">
        <v>824</v>
      </c>
      <c r="K86" s="13" t="s">
        <v>825</v>
      </c>
      <c r="L86" s="16" t="s">
        <v>3</v>
      </c>
      <c r="M86" s="17" t="s">
        <v>8</v>
      </c>
      <c r="N86" s="13" t="s">
        <v>826</v>
      </c>
    </row>
    <row r="87" customFormat="false" ht="137.3" hidden="false" customHeight="false" outlineLevel="0" collapsed="false">
      <c r="A87" s="12" t="n">
        <v>106</v>
      </c>
      <c r="B87" s="13" t="s">
        <v>827</v>
      </c>
      <c r="C87" s="13" t="s">
        <v>828</v>
      </c>
      <c r="D87" s="13" t="s">
        <v>18</v>
      </c>
      <c r="E87" s="13" t="s">
        <v>829</v>
      </c>
      <c r="F87" s="13" t="s">
        <v>830</v>
      </c>
      <c r="G87" s="13" t="s">
        <v>561</v>
      </c>
      <c r="H87" s="13" t="s">
        <v>831</v>
      </c>
      <c r="I87" s="13" t="s">
        <v>832</v>
      </c>
      <c r="J87" s="13" t="s">
        <v>833</v>
      </c>
      <c r="K87" s="13" t="s">
        <v>834</v>
      </c>
      <c r="L87" s="16" t="s">
        <v>3</v>
      </c>
      <c r="M87" s="17" t="s">
        <v>8</v>
      </c>
      <c r="N87" s="13" t="s">
        <v>835</v>
      </c>
    </row>
    <row r="88" customFormat="false" ht="137.3" hidden="false" customHeight="false" outlineLevel="0" collapsed="false">
      <c r="A88" s="12" t="n">
        <v>107</v>
      </c>
      <c r="B88" s="13" t="s">
        <v>836</v>
      </c>
      <c r="C88" s="13" t="s">
        <v>837</v>
      </c>
      <c r="D88" s="13" t="s">
        <v>16</v>
      </c>
      <c r="E88" s="13" t="s">
        <v>838</v>
      </c>
      <c r="F88" s="13" t="s">
        <v>839</v>
      </c>
      <c r="G88" s="13" t="s">
        <v>802</v>
      </c>
      <c r="H88" s="13" t="s">
        <v>840</v>
      </c>
      <c r="I88" s="13" t="s">
        <v>841</v>
      </c>
      <c r="J88" s="13" t="s">
        <v>842</v>
      </c>
      <c r="K88" s="13" t="s">
        <v>843</v>
      </c>
      <c r="L88" s="16" t="s">
        <v>3</v>
      </c>
      <c r="M88" s="15" t="s">
        <v>9</v>
      </c>
      <c r="N88" s="13" t="s">
        <v>844</v>
      </c>
    </row>
    <row r="89" customFormat="false" ht="137.3" hidden="false" customHeight="false" outlineLevel="0" collapsed="false">
      <c r="A89" s="12" t="n">
        <v>108</v>
      </c>
      <c r="B89" s="13" t="s">
        <v>845</v>
      </c>
      <c r="C89" s="13" t="s">
        <v>846</v>
      </c>
      <c r="D89" s="13" t="s">
        <v>16</v>
      </c>
      <c r="E89" s="13" t="s">
        <v>847</v>
      </c>
      <c r="F89" s="13" t="s">
        <v>848</v>
      </c>
      <c r="G89" s="13" t="s">
        <v>579</v>
      </c>
      <c r="H89" s="13" t="s">
        <v>849</v>
      </c>
      <c r="I89" s="13" t="s">
        <v>850</v>
      </c>
      <c r="J89" s="13" t="s">
        <v>851</v>
      </c>
      <c r="K89" s="13" t="s">
        <v>852</v>
      </c>
      <c r="L89" s="16" t="s">
        <v>3</v>
      </c>
      <c r="M89" s="17" t="s">
        <v>8</v>
      </c>
      <c r="N89" s="13" t="s">
        <v>853</v>
      </c>
    </row>
    <row r="90" customFormat="false" ht="147.75" hidden="false" customHeight="false" outlineLevel="0" collapsed="false">
      <c r="A90" s="12" t="n">
        <v>109</v>
      </c>
      <c r="B90" s="13" t="s">
        <v>854</v>
      </c>
      <c r="C90" s="13" t="s">
        <v>855</v>
      </c>
      <c r="D90" s="13" t="s">
        <v>16</v>
      </c>
      <c r="E90" s="13" t="s">
        <v>856</v>
      </c>
      <c r="F90" s="13" t="s">
        <v>857</v>
      </c>
      <c r="G90" s="13" t="s">
        <v>858</v>
      </c>
      <c r="H90" s="13" t="s">
        <v>859</v>
      </c>
      <c r="I90" s="13" t="s">
        <v>860</v>
      </c>
      <c r="J90" s="13" t="s">
        <v>861</v>
      </c>
      <c r="K90" s="13" t="s">
        <v>862</v>
      </c>
      <c r="L90" s="16" t="s">
        <v>3</v>
      </c>
      <c r="M90" s="17" t="s">
        <v>8</v>
      </c>
      <c r="N90" s="13" t="s">
        <v>863</v>
      </c>
    </row>
    <row r="91" customFormat="false" ht="126.85" hidden="false" customHeight="false" outlineLevel="0" collapsed="false">
      <c r="A91" s="12" t="n">
        <v>110</v>
      </c>
      <c r="B91" s="13" t="s">
        <v>864</v>
      </c>
      <c r="C91" s="13" t="s">
        <v>865</v>
      </c>
      <c r="D91" s="13" t="s">
        <v>17</v>
      </c>
      <c r="E91" s="13" t="s">
        <v>866</v>
      </c>
      <c r="F91" s="13" t="s">
        <v>867</v>
      </c>
      <c r="G91" s="13" t="s">
        <v>868</v>
      </c>
      <c r="H91" s="13" t="s">
        <v>869</v>
      </c>
      <c r="I91" s="13" t="s">
        <v>870</v>
      </c>
      <c r="J91" s="13" t="s">
        <v>871</v>
      </c>
      <c r="K91" s="13" t="s">
        <v>872</v>
      </c>
      <c r="L91" s="16" t="s">
        <v>3</v>
      </c>
      <c r="M91" s="17" t="s">
        <v>8</v>
      </c>
      <c r="N91" s="13" t="s">
        <v>873</v>
      </c>
    </row>
    <row r="92" customFormat="false" ht="116.4" hidden="false" customHeight="false" outlineLevel="0" collapsed="false">
      <c r="A92" s="12" t="n">
        <v>111</v>
      </c>
      <c r="B92" s="13" t="s">
        <v>874</v>
      </c>
      <c r="C92" s="13" t="s">
        <v>875</v>
      </c>
      <c r="D92" s="13" t="s">
        <v>19</v>
      </c>
      <c r="E92" s="13" t="s">
        <v>876</v>
      </c>
      <c r="F92" s="13" t="s">
        <v>877</v>
      </c>
      <c r="G92" s="13" t="s">
        <v>878</v>
      </c>
      <c r="H92" s="13" t="s">
        <v>869</v>
      </c>
      <c r="I92" s="13" t="s">
        <v>879</v>
      </c>
      <c r="J92" s="13" t="s">
        <v>880</v>
      </c>
      <c r="K92" s="13" t="s">
        <v>881</v>
      </c>
      <c r="L92" s="16" t="s">
        <v>3</v>
      </c>
      <c r="M92" s="17" t="s">
        <v>8</v>
      </c>
      <c r="N92" s="13" t="s">
        <v>882</v>
      </c>
    </row>
    <row r="93" customFormat="false" ht="126.85" hidden="false" customHeight="false" outlineLevel="0" collapsed="false">
      <c r="A93" s="12" t="n">
        <v>112</v>
      </c>
      <c r="B93" s="13" t="s">
        <v>883</v>
      </c>
      <c r="C93" s="13" t="s">
        <v>884</v>
      </c>
      <c r="D93" s="13" t="s">
        <v>15</v>
      </c>
      <c r="E93" s="13" t="s">
        <v>885</v>
      </c>
      <c r="F93" s="13" t="s">
        <v>886</v>
      </c>
      <c r="G93" s="13" t="s">
        <v>868</v>
      </c>
      <c r="H93" s="13" t="s">
        <v>887</v>
      </c>
      <c r="I93" s="13" t="s">
        <v>888</v>
      </c>
      <c r="J93" s="13" t="s">
        <v>889</v>
      </c>
      <c r="K93" s="13" t="s">
        <v>890</v>
      </c>
      <c r="L93" s="16" t="s">
        <v>3</v>
      </c>
      <c r="M93" s="17" t="s">
        <v>8</v>
      </c>
      <c r="N93" s="13" t="s">
        <v>891</v>
      </c>
    </row>
    <row r="94" customFormat="false" ht="168.65" hidden="false" customHeight="false" outlineLevel="0" collapsed="false">
      <c r="A94" s="12" t="n">
        <v>113</v>
      </c>
      <c r="B94" s="13" t="s">
        <v>892</v>
      </c>
      <c r="C94" s="13" t="s">
        <v>893</v>
      </c>
      <c r="D94" s="13" t="s">
        <v>16</v>
      </c>
      <c r="E94" s="13" t="s">
        <v>894</v>
      </c>
      <c r="F94" s="13" t="s">
        <v>895</v>
      </c>
      <c r="G94" s="13" t="s">
        <v>487</v>
      </c>
      <c r="H94" s="13" t="s">
        <v>896</v>
      </c>
      <c r="I94" s="13" t="s">
        <v>897</v>
      </c>
      <c r="J94" s="13" t="s">
        <v>898</v>
      </c>
      <c r="K94" s="13" t="s">
        <v>899</v>
      </c>
      <c r="L94" s="16" t="s">
        <v>3</v>
      </c>
      <c r="M94" s="15" t="s">
        <v>9</v>
      </c>
      <c r="N94" s="13" t="s">
        <v>900</v>
      </c>
    </row>
    <row r="95" customFormat="false" ht="147.75" hidden="false" customHeight="false" outlineLevel="0" collapsed="false">
      <c r="A95" s="12" t="n">
        <v>114</v>
      </c>
      <c r="B95" s="13" t="s">
        <v>901</v>
      </c>
      <c r="C95" s="13" t="s">
        <v>902</v>
      </c>
      <c r="D95" s="13" t="s">
        <v>18</v>
      </c>
      <c r="E95" s="13" t="s">
        <v>903</v>
      </c>
      <c r="F95" s="13" t="s">
        <v>904</v>
      </c>
      <c r="G95" s="13" t="s">
        <v>905</v>
      </c>
      <c r="H95" s="13" t="s">
        <v>906</v>
      </c>
      <c r="I95" s="13" t="s">
        <v>907</v>
      </c>
      <c r="J95" s="13" t="s">
        <v>908</v>
      </c>
      <c r="K95" s="13" t="s">
        <v>909</v>
      </c>
      <c r="L95" s="16" t="s">
        <v>3</v>
      </c>
      <c r="M95" s="17" t="s">
        <v>8</v>
      </c>
      <c r="N95" s="13" t="s">
        <v>910</v>
      </c>
    </row>
    <row r="96" customFormat="false" ht="179.1" hidden="false" customHeight="false" outlineLevel="0" collapsed="false">
      <c r="A96" s="12" t="n">
        <v>116</v>
      </c>
      <c r="B96" s="13" t="s">
        <v>911</v>
      </c>
      <c r="C96" s="13" t="s">
        <v>912</v>
      </c>
      <c r="D96" s="13" t="s">
        <v>15</v>
      </c>
      <c r="E96" s="13" t="s">
        <v>913</v>
      </c>
      <c r="F96" s="13" t="s">
        <v>914</v>
      </c>
      <c r="G96" s="13" t="s">
        <v>915</v>
      </c>
      <c r="H96" s="13" t="s">
        <v>916</v>
      </c>
      <c r="I96" s="13" t="s">
        <v>917</v>
      </c>
      <c r="J96" s="13" t="s">
        <v>918</v>
      </c>
      <c r="K96" s="13" t="s">
        <v>919</v>
      </c>
      <c r="L96" s="16" t="s">
        <v>3</v>
      </c>
      <c r="M96" s="17" t="s">
        <v>8</v>
      </c>
      <c r="N96" s="13" t="s">
        <v>920</v>
      </c>
    </row>
    <row r="97" customFormat="false" ht="189.55" hidden="false" customHeight="false" outlineLevel="0" collapsed="false">
      <c r="A97" s="12" t="n">
        <v>117</v>
      </c>
      <c r="B97" s="13" t="s">
        <v>921</v>
      </c>
      <c r="C97" s="13" t="s">
        <v>922</v>
      </c>
      <c r="D97" s="13" t="s">
        <v>18</v>
      </c>
      <c r="E97" s="13" t="s">
        <v>923</v>
      </c>
      <c r="F97" s="13" t="s">
        <v>924</v>
      </c>
      <c r="G97" s="13" t="s">
        <v>915</v>
      </c>
      <c r="H97" s="13" t="s">
        <v>925</v>
      </c>
      <c r="I97" s="13" t="s">
        <v>926</v>
      </c>
      <c r="J97" s="13" t="s">
        <v>927</v>
      </c>
      <c r="K97" s="13" t="s">
        <v>928</v>
      </c>
      <c r="L97" s="16" t="s">
        <v>3</v>
      </c>
      <c r="M97" s="15" t="s">
        <v>9</v>
      </c>
      <c r="N97" s="13" t="s">
        <v>929</v>
      </c>
    </row>
    <row r="98" customFormat="false" ht="147.75" hidden="false" customHeight="false" outlineLevel="0" collapsed="false">
      <c r="A98" s="12" t="n">
        <v>118</v>
      </c>
      <c r="B98" s="13" t="s">
        <v>930</v>
      </c>
      <c r="C98" s="13" t="s">
        <v>931</v>
      </c>
      <c r="D98" s="13" t="s">
        <v>18</v>
      </c>
      <c r="E98" s="13" t="s">
        <v>932</v>
      </c>
      <c r="F98" s="13" t="s">
        <v>933</v>
      </c>
      <c r="G98" s="13" t="s">
        <v>561</v>
      </c>
      <c r="H98" s="13" t="s">
        <v>934</v>
      </c>
      <c r="I98" s="13" t="s">
        <v>935</v>
      </c>
      <c r="J98" s="13" t="s">
        <v>936</v>
      </c>
      <c r="K98" s="13" t="s">
        <v>937</v>
      </c>
      <c r="L98" s="16" t="s">
        <v>3</v>
      </c>
      <c r="M98" s="17" t="s">
        <v>8</v>
      </c>
      <c r="N98" s="13" t="s">
        <v>938</v>
      </c>
    </row>
    <row r="99" customFormat="false" ht="168.65" hidden="false" customHeight="false" outlineLevel="0" collapsed="false">
      <c r="A99" s="12" t="n">
        <v>119</v>
      </c>
      <c r="B99" s="13" t="s">
        <v>939</v>
      </c>
      <c r="C99" s="13" t="s">
        <v>940</v>
      </c>
      <c r="D99" s="13" t="s">
        <v>16</v>
      </c>
      <c r="E99" s="13" t="s">
        <v>941</v>
      </c>
      <c r="F99" s="13" t="s">
        <v>942</v>
      </c>
      <c r="G99" s="13" t="s">
        <v>915</v>
      </c>
      <c r="H99" s="13" t="s">
        <v>943</v>
      </c>
      <c r="I99" s="13" t="s">
        <v>944</v>
      </c>
      <c r="J99" s="13" t="s">
        <v>945</v>
      </c>
      <c r="K99" s="13" t="s">
        <v>946</v>
      </c>
      <c r="L99" s="16" t="s">
        <v>3</v>
      </c>
      <c r="M99" s="17" t="s">
        <v>8</v>
      </c>
      <c r="N99" s="13" t="s">
        <v>947</v>
      </c>
    </row>
    <row r="100" customFormat="false" ht="158.2" hidden="false" customHeight="false" outlineLevel="0" collapsed="false">
      <c r="A100" s="12" t="n">
        <v>120</v>
      </c>
      <c r="B100" s="13" t="s">
        <v>948</v>
      </c>
      <c r="C100" s="13" t="s">
        <v>949</v>
      </c>
      <c r="D100" s="13" t="s">
        <v>17</v>
      </c>
      <c r="E100" s="13" t="s">
        <v>950</v>
      </c>
      <c r="F100" s="13" t="s">
        <v>951</v>
      </c>
      <c r="G100" s="13" t="s">
        <v>561</v>
      </c>
      <c r="H100" s="13" t="s">
        <v>952</v>
      </c>
      <c r="I100" s="13" t="s">
        <v>953</v>
      </c>
      <c r="J100" s="13" t="s">
        <v>954</v>
      </c>
      <c r="K100" s="13" t="s">
        <v>955</v>
      </c>
      <c r="L100" s="16" t="s">
        <v>3</v>
      </c>
      <c r="M100" s="17" t="s">
        <v>8</v>
      </c>
      <c r="N100" s="13" t="s">
        <v>956</v>
      </c>
    </row>
    <row r="101" customFormat="false" ht="179.1" hidden="false" customHeight="false" outlineLevel="0" collapsed="false">
      <c r="A101" s="12" t="n">
        <v>121</v>
      </c>
      <c r="B101" s="13" t="s">
        <v>957</v>
      </c>
      <c r="C101" s="13" t="s">
        <v>958</v>
      </c>
      <c r="D101" s="13" t="s">
        <v>15</v>
      </c>
      <c r="E101" s="13" t="s">
        <v>959</v>
      </c>
      <c r="F101" s="13" t="s">
        <v>960</v>
      </c>
      <c r="G101" s="13" t="s">
        <v>915</v>
      </c>
      <c r="H101" s="13" t="s">
        <v>961</v>
      </c>
      <c r="I101" s="13" t="s">
        <v>962</v>
      </c>
      <c r="J101" s="13" t="s">
        <v>963</v>
      </c>
      <c r="K101" s="13" t="s">
        <v>964</v>
      </c>
      <c r="L101" s="16" t="s">
        <v>3</v>
      </c>
      <c r="M101" s="17" t="s">
        <v>8</v>
      </c>
      <c r="N101" s="13" t="s">
        <v>965</v>
      </c>
    </row>
    <row r="102" customFormat="false" ht="168.65" hidden="false" customHeight="false" outlineLevel="0" collapsed="false">
      <c r="A102" s="12" t="n">
        <v>122</v>
      </c>
      <c r="B102" s="13" t="s">
        <v>966</v>
      </c>
      <c r="C102" s="13" t="s">
        <v>967</v>
      </c>
      <c r="D102" s="13" t="s">
        <v>17</v>
      </c>
      <c r="E102" s="13" t="s">
        <v>968</v>
      </c>
      <c r="F102" s="13" t="s">
        <v>969</v>
      </c>
      <c r="G102" s="13" t="s">
        <v>561</v>
      </c>
      <c r="H102" s="13" t="s">
        <v>952</v>
      </c>
      <c r="I102" s="13" t="s">
        <v>970</v>
      </c>
      <c r="J102" s="13" t="s">
        <v>971</v>
      </c>
      <c r="K102" s="13" t="s">
        <v>972</v>
      </c>
      <c r="L102" s="16" t="s">
        <v>3</v>
      </c>
      <c r="M102" s="17" t="s">
        <v>8</v>
      </c>
      <c r="N102" s="13" t="s">
        <v>973</v>
      </c>
    </row>
  </sheetData>
  <autoFilter ref="A3:N3"/>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2026-06-03T11:38:11Z</dcterms:created>
  <dc:creator>openpyxl</dc:creator>
  <dc:description/>
  <dc:language>en-US</dc:language>
  <cp:lastModifiedBy/>
  <dcterms:modified xsi:type="dcterms:W3CDTF">2026-06-03T11:38:11Z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